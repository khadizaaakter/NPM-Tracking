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Saif_Deskdoc\Desktop\New folder\"/>
    </mc:Choice>
  </mc:AlternateContent>
  <bookViews>
    <workbookView xWindow="0" yWindow="0" windowWidth="9960" windowHeight="6705" tabRatio="500" firstSheet="1" activeTab="4"/>
  </bookViews>
  <sheets>
    <sheet name="Process Report Flow" sheetId="2" r:id="rId1"/>
    <sheet name="Mail Notification" sheetId="10" r:id="rId2"/>
    <sheet name="Gantt Chart Timeline" sheetId="5" r:id="rId3"/>
    <sheet name="Gantt Chart" sheetId="8" r:id="rId4"/>
    <sheet name="Report Vertical" sheetId="6" r:id="rId5"/>
    <sheet name="Comment" sheetId="9" r:id="rId6"/>
  </sheets>
  <definedNames>
    <definedName name="_xlnm._FilterDatabase" localSheetId="5" hidden="1">Comment!$B$3:$F$3</definedName>
    <definedName name="_xlnm._FilterDatabase" localSheetId="4" hidden="1">'Report Vertical'!$B$3:$H$56</definedName>
  </definedNames>
  <calcPr calcId="152511"/>
</workbook>
</file>

<file path=xl/calcChain.xml><?xml version="1.0" encoding="utf-8"?>
<calcChain xmlns="http://schemas.openxmlformats.org/spreadsheetml/2006/main">
  <c r="H2" i="6" l="1"/>
  <c r="E3" i="5" l="1"/>
</calcChain>
</file>

<file path=xl/sharedStrings.xml><?xml version="1.0" encoding="utf-8"?>
<sst xmlns="http://schemas.openxmlformats.org/spreadsheetml/2006/main" count="712" uniqueCount="248">
  <si>
    <t>SBU</t>
  </si>
  <si>
    <t>Pharma Common</t>
  </si>
  <si>
    <t>Generic</t>
  </si>
  <si>
    <t>Therapeutic Class</t>
  </si>
  <si>
    <t>Strength</t>
  </si>
  <si>
    <t>Product Category</t>
  </si>
  <si>
    <t>Dosage Form</t>
  </si>
  <si>
    <t>Duration (PP to PP Approval)</t>
  </si>
  <si>
    <t>Plant</t>
  </si>
  <si>
    <t>Dev RM Received</t>
  </si>
  <si>
    <t>PP Creator</t>
  </si>
  <si>
    <t>Lacosamide</t>
  </si>
  <si>
    <t>Antiepileptic</t>
  </si>
  <si>
    <t>50mg</t>
  </si>
  <si>
    <t>Tablet</t>
  </si>
  <si>
    <t>New Molecule</t>
  </si>
  <si>
    <t>07.01.2025</t>
  </si>
  <si>
    <t>NG</t>
  </si>
  <si>
    <t>09.03.2025</t>
  </si>
  <si>
    <t>25.04.2025</t>
  </si>
  <si>
    <t>07.08.2025</t>
  </si>
  <si>
    <t>12.03.2025</t>
  </si>
  <si>
    <t>14.03.2025</t>
  </si>
  <si>
    <t>Duration (PP Approval to Recipe Submission)</t>
  </si>
  <si>
    <t>25.09.2025</t>
  </si>
  <si>
    <t>01.10.2025</t>
  </si>
  <si>
    <t>20.09.2025</t>
  </si>
  <si>
    <t>05.10.2025</t>
  </si>
  <si>
    <t>10.10.2025</t>
  </si>
  <si>
    <t>10.11.2025</t>
  </si>
  <si>
    <t>30.11.2025</t>
  </si>
  <si>
    <t>25.11.2025</t>
  </si>
  <si>
    <t>15.12.2025</t>
  </si>
  <si>
    <t>20.12.2025</t>
  </si>
  <si>
    <t>Saif Ahmed</t>
  </si>
  <si>
    <t>15.10.2025</t>
  </si>
  <si>
    <t>10.01.2026</t>
  </si>
  <si>
    <t>01.02.2026</t>
  </si>
  <si>
    <t>Date/NA</t>
  </si>
  <si>
    <t>Date</t>
  </si>
  <si>
    <t>RM/PM requisition to SCM by R&amp;D</t>
  </si>
  <si>
    <t>Unit Forecast (Y-1)</t>
  </si>
  <si>
    <t>Value Forecast (Y-1)</t>
  </si>
  <si>
    <t>Concerned Persons</t>
  </si>
  <si>
    <t>PP</t>
  </si>
  <si>
    <t>Formula</t>
  </si>
  <si>
    <t>R&amp;D</t>
  </si>
  <si>
    <t>RA</t>
  </si>
  <si>
    <t>R&amp;D/ Eng.</t>
  </si>
  <si>
    <t>QC</t>
  </si>
  <si>
    <t>SCM</t>
  </si>
  <si>
    <t>R&amp;D (NG)</t>
  </si>
  <si>
    <t>R&amp;D (AHL)</t>
  </si>
  <si>
    <t>Production (NG)</t>
  </si>
  <si>
    <t>Sl. No.</t>
  </si>
  <si>
    <t>Item</t>
  </si>
  <si>
    <t>Responsibility</t>
  </si>
  <si>
    <t>Days Required</t>
  </si>
  <si>
    <t>03M Stability Completion</t>
  </si>
  <si>
    <t>QA</t>
  </si>
  <si>
    <t>Product Proposal Approval</t>
  </si>
  <si>
    <t>COO sir</t>
  </si>
  <si>
    <t>Duration (PM Spec Sharing to PM Design to RA)</t>
  </si>
  <si>
    <t>Duration (Annexure Approval to Commercial PM Received)</t>
  </si>
  <si>
    <t>Remarks</t>
  </si>
  <si>
    <t>Tooling/ Machine/ Change parts Availability at Plant</t>
  </si>
  <si>
    <t>Total Days:</t>
  </si>
  <si>
    <t>Approved Dev RM Received</t>
  </si>
  <si>
    <t>Product Launching</t>
  </si>
  <si>
    <t>SMD</t>
  </si>
  <si>
    <t>Annexure &amp; Price Approval</t>
  </si>
  <si>
    <t>Approved Date</t>
  </si>
  <si>
    <t>Finished Product release</t>
  </si>
  <si>
    <t>Launching Date</t>
  </si>
  <si>
    <t>01.01.26</t>
  </si>
  <si>
    <t>01.04.27</t>
  </si>
  <si>
    <t>Days Count</t>
  </si>
  <si>
    <t>Items</t>
  </si>
  <si>
    <t>Timeline</t>
  </si>
  <si>
    <t>Departments</t>
  </si>
  <si>
    <t>Method Dev. &amp; Stability Initiation</t>
  </si>
  <si>
    <t>3M Stability Completion</t>
  </si>
  <si>
    <t>Technology Transfer</t>
  </si>
  <si>
    <t>Finished Product Released</t>
  </si>
  <si>
    <t>Upload</t>
  </si>
  <si>
    <t>Current Status</t>
  </si>
  <si>
    <t>RM Req. by R&amp;D
PM Req. by R&amp;D</t>
  </si>
  <si>
    <t>Internal Price</t>
  </si>
  <si>
    <t>Annexure Doc</t>
  </si>
  <si>
    <t>Technology Doc</t>
  </si>
  <si>
    <t>Internal Price Circular</t>
  </si>
  <si>
    <t>MA Certificate</t>
  </si>
  <si>
    <t>Launching Circular</t>
  </si>
  <si>
    <t>3M Stability</t>
  </si>
  <si>
    <t>6M Stability Completion</t>
  </si>
  <si>
    <t>6M Stability</t>
  </si>
  <si>
    <t>Formulation Concurrence</t>
  </si>
  <si>
    <t>Internal Brand Name
Packaging Concurrence</t>
  </si>
  <si>
    <t>Manufacturing Plan of Ceftazidime+ Avibactam</t>
  </si>
  <si>
    <t>Status</t>
  </si>
  <si>
    <t>Done</t>
  </si>
  <si>
    <t>W-1</t>
  </si>
  <si>
    <t>W-2</t>
  </si>
  <si>
    <t>W-3</t>
  </si>
  <si>
    <t>W-4</t>
  </si>
  <si>
    <t>01.01.2026</t>
  </si>
  <si>
    <t>Mid March</t>
  </si>
  <si>
    <t>Mid June</t>
  </si>
  <si>
    <t>March'26</t>
  </si>
  <si>
    <t>April'26</t>
  </si>
  <si>
    <t>May'26</t>
  </si>
  <si>
    <t>June'26</t>
  </si>
  <si>
    <t>July'26</t>
  </si>
  <si>
    <t>August'26</t>
  </si>
  <si>
    <t>September'26</t>
  </si>
  <si>
    <t>October'26</t>
  </si>
  <si>
    <t>November'26</t>
  </si>
  <si>
    <t>December'26</t>
  </si>
  <si>
    <t>January'27</t>
  </si>
  <si>
    <t>February'26</t>
  </si>
  <si>
    <t>February'27</t>
  </si>
  <si>
    <t>March'27</t>
  </si>
  <si>
    <t>April'27</t>
  </si>
  <si>
    <t>January'26</t>
  </si>
  <si>
    <t>Mid Sep'26</t>
  </si>
  <si>
    <t>Mid Decr'26</t>
  </si>
  <si>
    <t>Mid Mar'27</t>
  </si>
  <si>
    <t>Mid Apr'27</t>
  </si>
  <si>
    <t>End Apr'27</t>
  </si>
  <si>
    <t>Launching Timeline</t>
  </si>
  <si>
    <t>Standard Timeline</t>
  </si>
  <si>
    <t>Deviated Timeline</t>
  </si>
  <si>
    <t>24.04.2027</t>
  </si>
  <si>
    <t>Internal Product Brief</t>
  </si>
  <si>
    <t>Dev RM specification to SCM by R&amp;D</t>
  </si>
  <si>
    <t>Recipe Submission to RA</t>
  </si>
  <si>
    <t>Tooling/ Machine/ Change parts PR to SCM by R&amp;D/Eng</t>
  </si>
  <si>
    <t>DTL Approval</t>
  </si>
  <si>
    <t>Brand Name &amp; PM Design to RA</t>
  </si>
  <si>
    <t>Price Submission to RA</t>
  </si>
  <si>
    <t>Annexure Documents to RA by R&amp;D</t>
  </si>
  <si>
    <t>PM Design Delivery to Vendor by SCM</t>
  </si>
  <si>
    <t>Manual</t>
  </si>
  <si>
    <t>Online</t>
  </si>
  <si>
    <t>Dev. RM Spec.</t>
  </si>
  <si>
    <t>Dev RM Receival</t>
  </si>
  <si>
    <t>RM Receival</t>
  </si>
  <si>
    <t>PM Receival</t>
  </si>
  <si>
    <t>PM Spec.</t>
  </si>
  <si>
    <t>Hand Over Note</t>
  </si>
  <si>
    <t>10.05.26</t>
  </si>
  <si>
    <t>SCM Couldn't manage DEV RM yet</t>
  </si>
  <si>
    <t>Due to high cost SCM couldn't manage Dev RM yet</t>
  </si>
  <si>
    <t>26.05.26</t>
  </si>
  <si>
    <t>Product Launching Gantt Chart</t>
  </si>
  <si>
    <t>Specification</t>
  </si>
  <si>
    <t>INN</t>
  </si>
  <si>
    <t>QA (AHL)</t>
  </si>
  <si>
    <t>Sharmin Akter (AM, QA)</t>
  </si>
  <si>
    <t>Recipe Letter by DA</t>
  </si>
  <si>
    <t>Approved PM Design by DA</t>
  </si>
  <si>
    <t>Approved Annexure by DA</t>
  </si>
  <si>
    <t>DTL Approval by DA</t>
  </si>
  <si>
    <t>12.02.26</t>
  </si>
  <si>
    <t>Waiting for originator product</t>
  </si>
  <si>
    <t>Waiting for COO Sir's approval</t>
  </si>
  <si>
    <t>15.02.26</t>
  </si>
  <si>
    <t>10.07.26</t>
  </si>
  <si>
    <t xml:space="preserve">Need spec. correction </t>
  </si>
  <si>
    <t>Molecule Code</t>
  </si>
  <si>
    <t>Product Code</t>
  </si>
  <si>
    <t>NP-0726-0001 (a)</t>
  </si>
  <si>
    <t>NP-0726-0001</t>
  </si>
  <si>
    <t>PP Raised</t>
  </si>
  <si>
    <t>PP Approval</t>
  </si>
  <si>
    <t>Product Brief (PB) Sharing to R&amp;D</t>
  </si>
  <si>
    <t>6M Forecast Sharing to R&amp;D</t>
  </si>
  <si>
    <t>MKT</t>
  </si>
  <si>
    <t>Product Brief Approval</t>
  </si>
  <si>
    <t>Recipe Approval</t>
  </si>
  <si>
    <t>DTL shared to RA by R&amp;D</t>
  </si>
  <si>
    <t>PM Spec. Shared to SMD by R&amp;D</t>
  </si>
  <si>
    <t>Brand Name &amp; PM Design Approval</t>
  </si>
  <si>
    <t>Annexure Approval</t>
  </si>
  <si>
    <t>Inclusion Approval</t>
  </si>
  <si>
    <t>AFPC Shared to QC</t>
  </si>
  <si>
    <t>Commercial RM Receival</t>
  </si>
  <si>
    <t>Commercial PM Receival</t>
  </si>
  <si>
    <t>AFPC Doc</t>
  </si>
  <si>
    <t>Price Approval</t>
  </si>
  <si>
    <t>MA Certificate Receival</t>
  </si>
  <si>
    <t>Duration (PP Approval to Product Launching)</t>
  </si>
  <si>
    <t>6M Forecast</t>
  </si>
  <si>
    <t>DTL Doc</t>
  </si>
  <si>
    <t>PM Design Approval</t>
  </si>
  <si>
    <t>Recipe Doc</t>
  </si>
  <si>
    <t>Change Parts PR</t>
  </si>
  <si>
    <t>Change Parts Receival</t>
  </si>
  <si>
    <t>Process Report Flow</t>
  </si>
  <si>
    <t>Sub-activities</t>
  </si>
  <si>
    <t>Responsible Departments</t>
  </si>
  <si>
    <t>Current Documentation Status</t>
  </si>
  <si>
    <t>Gantt Chart Timeline</t>
  </si>
  <si>
    <t>Sinthia Hossain</t>
  </si>
  <si>
    <t>Deputy General Manager</t>
  </si>
  <si>
    <t>sinthia@aci-bd.com</t>
  </si>
  <si>
    <t>Mst. Jasmin Akter</t>
  </si>
  <si>
    <t>Deputy Product Development Manager</t>
  </si>
  <si>
    <t>jasmin@aci-bd.com</t>
  </si>
  <si>
    <t>Tufikul Islam</t>
  </si>
  <si>
    <t>Senior Assistant Manager</t>
  </si>
  <si>
    <t>tufikul@aci-bd.com</t>
  </si>
  <si>
    <t>Md. Jamal Hossain</t>
  </si>
  <si>
    <t>jamal.hossain@acihealthcare.net</t>
  </si>
  <si>
    <t>Morsheda Akter</t>
  </si>
  <si>
    <t>Assistant Manager</t>
  </si>
  <si>
    <t>morsheda.akter@acihealthcare.net</t>
  </si>
  <si>
    <t>Mohammad Omar Faruk Patoary</t>
  </si>
  <si>
    <t>Validation &amp; LCM</t>
  </si>
  <si>
    <t>omar.faruk@acihealthcare.net</t>
  </si>
  <si>
    <t>AKM Sharif Masud</t>
  </si>
  <si>
    <t>Regulatory Affairs</t>
  </si>
  <si>
    <t>sharifmasud@aci-bd.com</t>
  </si>
  <si>
    <t>Raisul Islam Imon</t>
  </si>
  <si>
    <t>Executive</t>
  </si>
  <si>
    <t>raisul.imon@aci-bd.com</t>
  </si>
  <si>
    <t>Golam Mohammed Shahariar</t>
  </si>
  <si>
    <t>Senior Manager</t>
  </si>
  <si>
    <t>Shahariar.golam@aci-bd.com</t>
  </si>
  <si>
    <t>Ms. Laboni Saha</t>
  </si>
  <si>
    <t>Senior Executive</t>
  </si>
  <si>
    <t>laboni.saha@aci-bd.com</t>
  </si>
  <si>
    <t>Demo Information</t>
  </si>
  <si>
    <t>Generic Code</t>
  </si>
  <si>
    <t>NP07260001</t>
  </si>
  <si>
    <t>NP07260001 (a)</t>
  </si>
  <si>
    <t>NPD Folder Name</t>
  </si>
  <si>
    <t>Raihana Begum</t>
  </si>
  <si>
    <t>raihana@aci-bd.com</t>
  </si>
  <si>
    <t>Md. Monirujjaman</t>
  </si>
  <si>
    <t>monirujjaman@aci-bd.com</t>
  </si>
  <si>
    <t>Assistant General Manager</t>
  </si>
  <si>
    <t>Alak Kumar Barua</t>
  </si>
  <si>
    <t>alak@aci-bd.com</t>
  </si>
  <si>
    <t>Warehouse</t>
  </si>
  <si>
    <t>akter.sharmin@acihealthcare.net</t>
  </si>
  <si>
    <t>Upload Document</t>
  </si>
  <si>
    <t>PM Spec. Shared to MKT by R&amp;D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</si>
</sst>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name val="Calibri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1"/>
      <name val="Cambria"/>
      <family val="1"/>
    </font>
    <font>
      <sz val="10"/>
      <name val="Cambria"/>
      <family val="1"/>
    </font>
    <font>
      <b/>
      <sz val="10"/>
      <name val="Cambria"/>
      <family val="1"/>
    </font>
    <font>
      <sz val="10"/>
      <name val="Arial"/>
      <family val="2"/>
    </font>
    <font>
      <sz val="6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sz val="7"/>
      <color theme="1"/>
      <name val="Cambria"/>
      <family val="1"/>
    </font>
    <font>
      <b/>
      <sz val="7"/>
      <color theme="1"/>
      <name val="Cambria"/>
      <family val="1"/>
    </font>
    <font>
      <b/>
      <sz val="7"/>
      <name val="Cambria"/>
      <family val="1"/>
    </font>
    <font>
      <sz val="12"/>
      <color theme="1"/>
      <name val="Cambria"/>
      <family val="1"/>
    </font>
    <font>
      <b/>
      <sz val="16"/>
      <color theme="1"/>
      <name val="Cambria"/>
      <family val="1"/>
    </font>
    <font>
      <b/>
      <sz val="9"/>
      <name val="Cambria"/>
      <family val="1"/>
    </font>
    <font>
      <sz val="9"/>
      <name val="Cambria"/>
      <family val="1"/>
    </font>
    <font>
      <b/>
      <sz val="11"/>
      <name val="Cambria"/>
      <family val="1"/>
    </font>
    <font>
      <sz val="11"/>
      <color rgb="FF000000"/>
      <name val="Cambria"/>
      <family val="1"/>
    </font>
    <font>
      <b/>
      <sz val="18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10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6" xfId="0" applyFont="1" applyBorder="1" applyAlignment="1">
      <alignment horizontal="left"/>
    </xf>
    <xf numFmtId="1" fontId="4" fillId="0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16" fontId="7" fillId="0" borderId="1" xfId="1" quotePrefix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0" xfId="0" applyFont="1" applyBorder="1" applyAlignment="1">
      <alignment horizontal="right" vertical="center"/>
    </xf>
    <xf numFmtId="0" fontId="13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Fill="1" applyBorder="1" applyAlignment="1">
      <alignment horizontal="center"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2" fontId="18" fillId="0" borderId="1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18" fillId="0" borderId="11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5" borderId="14" xfId="0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7" borderId="16" xfId="0" applyFont="1" applyFill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20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1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8" fillId="7" borderId="16" xfId="0" applyFont="1" applyFill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16" fontId="14" fillId="0" borderId="1" xfId="1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3"/>
  <sheetViews>
    <sheetView topLeftCell="L4" zoomScale="90" zoomScaleNormal="90" workbookViewId="0">
      <selection activeCell="G3" sqref="G3"/>
    </sheetView>
  </sheetViews>
  <sheetFormatPr defaultColWidth="9.140625" defaultRowHeight="14.25" x14ac:dyDescent="0.25"/>
  <cols>
    <col min="1" max="1" width="13.28515625" style="64" customWidth="1"/>
    <col min="2" max="2" width="6.28515625" style="64" customWidth="1"/>
    <col min="3" max="3" width="9.85546875" style="64" customWidth="1"/>
    <col min="4" max="4" width="9.42578125" style="64" customWidth="1"/>
    <col min="5" max="5" width="7" style="64" customWidth="1"/>
    <col min="6" max="7" width="6.5703125" style="64" customWidth="1"/>
    <col min="8" max="8" width="7.140625" style="64" customWidth="1"/>
    <col min="9" max="9" width="8.28515625" style="64" customWidth="1"/>
    <col min="10" max="11" width="6.5703125" style="64" customWidth="1"/>
    <col min="12" max="12" width="7" style="64" customWidth="1"/>
    <col min="13" max="13" width="7.7109375" style="64" customWidth="1"/>
    <col min="14" max="15" width="7.5703125" style="64" customWidth="1"/>
    <col min="16" max="16" width="7.85546875" style="64" customWidth="1"/>
    <col min="17" max="17" width="10.5703125" style="64" customWidth="1"/>
    <col min="18" max="18" width="7.85546875" style="64" customWidth="1"/>
    <col min="19" max="19" width="8.42578125" style="64" customWidth="1"/>
    <col min="20" max="20" width="10.140625" style="64" customWidth="1"/>
    <col min="21" max="22" width="9.28515625" style="64" customWidth="1"/>
    <col min="23" max="25" width="8.28515625" style="64" customWidth="1"/>
    <col min="26" max="26" width="10.28515625" style="64" customWidth="1"/>
    <col min="27" max="28" width="8.28515625" style="64" customWidth="1"/>
    <col min="29" max="30" width="10.28515625" style="64" customWidth="1"/>
    <col min="31" max="33" width="8.28515625" style="64" customWidth="1"/>
    <col min="34" max="34" width="8.85546875" style="64" customWidth="1"/>
    <col min="35" max="36" width="8.28515625" style="64" customWidth="1"/>
    <col min="37" max="37" width="8.85546875" style="64" customWidth="1"/>
    <col min="38" max="38" width="9" style="64" customWidth="1"/>
    <col min="39" max="44" width="8" style="64" customWidth="1"/>
    <col min="45" max="45" width="9.28515625" style="64" customWidth="1"/>
    <col min="46" max="46" width="9.5703125" style="64" customWidth="1"/>
    <col min="47" max="47" width="9.140625" style="64" customWidth="1"/>
    <col min="48" max="49" width="9" style="64" customWidth="1"/>
    <col min="50" max="51" width="8.42578125" style="64" customWidth="1"/>
    <col min="52" max="52" width="8.140625" style="64" customWidth="1"/>
    <col min="53" max="53" width="8.5703125" style="64" customWidth="1"/>
    <col min="54" max="54" width="7.5703125" style="64" customWidth="1"/>
    <col min="55" max="55" width="13.42578125" style="64" customWidth="1"/>
    <col min="56" max="56" width="10.85546875" style="64" customWidth="1"/>
    <col min="57" max="57" width="27" style="64" customWidth="1"/>
    <col min="58" max="58" width="29.7109375" style="64" customWidth="1"/>
    <col min="59" max="59" width="23" style="64" customWidth="1"/>
    <col min="60" max="60" width="21.5703125" style="64" customWidth="1"/>
    <col min="61" max="61" width="16.140625" style="64" customWidth="1"/>
    <col min="62" max="62" width="25.7109375" style="64" customWidth="1"/>
    <col min="63" max="63" width="14.85546875" style="64" customWidth="1"/>
    <col min="64" max="64" width="54" style="64" customWidth="1"/>
    <col min="65" max="16384" width="9.140625" style="64"/>
  </cols>
  <sheetData>
    <row r="1" spans="1:55" ht="42" customHeight="1" x14ac:dyDescent="0.25">
      <c r="C1" s="88" t="s">
        <v>198</v>
      </c>
      <c r="D1" s="88"/>
      <c r="E1" s="88"/>
      <c r="F1" s="88"/>
      <c r="G1" s="88"/>
      <c r="H1" s="88"/>
      <c r="I1" s="88"/>
    </row>
    <row r="2" spans="1:55" ht="42" customHeight="1" thickBot="1" x14ac:dyDescent="0.3">
      <c r="C2" s="75"/>
      <c r="D2" s="75"/>
      <c r="E2" s="75"/>
      <c r="F2" s="75"/>
    </row>
    <row r="3" spans="1:55" s="76" customFormat="1" ht="84" x14ac:dyDescent="0.25">
      <c r="A3" s="42" t="s">
        <v>199</v>
      </c>
      <c r="B3" s="41"/>
      <c r="C3" s="45" t="s">
        <v>0</v>
      </c>
      <c r="D3" s="46" t="s">
        <v>2</v>
      </c>
      <c r="E3" s="46" t="s">
        <v>155</v>
      </c>
      <c r="F3" s="46" t="s">
        <v>3</v>
      </c>
      <c r="G3" s="46" t="s">
        <v>4</v>
      </c>
      <c r="H3" s="46" t="s">
        <v>6</v>
      </c>
      <c r="I3" s="46" t="s">
        <v>5</v>
      </c>
      <c r="J3" s="46" t="s">
        <v>41</v>
      </c>
      <c r="K3" s="46" t="s">
        <v>42</v>
      </c>
      <c r="L3" s="46" t="s">
        <v>73</v>
      </c>
      <c r="M3" s="46" t="s">
        <v>233</v>
      </c>
      <c r="N3" s="46" t="s">
        <v>170</v>
      </c>
      <c r="O3" s="46" t="s">
        <v>173</v>
      </c>
      <c r="P3" s="46" t="s">
        <v>8</v>
      </c>
      <c r="Q3" s="47" t="s">
        <v>174</v>
      </c>
      <c r="R3" s="46" t="s">
        <v>7</v>
      </c>
      <c r="S3" s="46" t="s">
        <v>175</v>
      </c>
      <c r="T3" s="46" t="s">
        <v>176</v>
      </c>
      <c r="U3" s="46" t="s">
        <v>178</v>
      </c>
      <c r="V3" s="46" t="s">
        <v>134</v>
      </c>
      <c r="W3" s="47" t="s">
        <v>9</v>
      </c>
      <c r="X3" s="47" t="s">
        <v>80</v>
      </c>
      <c r="Y3" s="47" t="s">
        <v>81</v>
      </c>
      <c r="Z3" s="46" t="s">
        <v>135</v>
      </c>
      <c r="AA3" s="46" t="s">
        <v>23</v>
      </c>
      <c r="AB3" s="46" t="s">
        <v>179</v>
      </c>
      <c r="AC3" s="46" t="s">
        <v>180</v>
      </c>
      <c r="AD3" s="46" t="s">
        <v>181</v>
      </c>
      <c r="AE3" s="46" t="s">
        <v>136</v>
      </c>
      <c r="AF3" s="46" t="s">
        <v>40</v>
      </c>
      <c r="AG3" s="46" t="s">
        <v>137</v>
      </c>
      <c r="AH3" s="46" t="s">
        <v>138</v>
      </c>
      <c r="AI3" s="46" t="s">
        <v>62</v>
      </c>
      <c r="AJ3" s="46" t="s">
        <v>139</v>
      </c>
      <c r="AK3" s="47" t="s">
        <v>94</v>
      </c>
      <c r="AL3" s="46" t="s">
        <v>140</v>
      </c>
      <c r="AM3" s="46" t="s">
        <v>65</v>
      </c>
      <c r="AN3" s="46" t="s">
        <v>182</v>
      </c>
      <c r="AO3" s="46" t="s">
        <v>183</v>
      </c>
      <c r="AP3" s="46" t="s">
        <v>184</v>
      </c>
      <c r="AQ3" s="46" t="s">
        <v>141</v>
      </c>
      <c r="AR3" s="46" t="s">
        <v>185</v>
      </c>
      <c r="AS3" s="46" t="s">
        <v>186</v>
      </c>
      <c r="AT3" s="46" t="s">
        <v>187</v>
      </c>
      <c r="AU3" s="46" t="s">
        <v>82</v>
      </c>
      <c r="AV3" s="46" t="s">
        <v>63</v>
      </c>
      <c r="AW3" s="47" t="s">
        <v>189</v>
      </c>
      <c r="AX3" s="47" t="s">
        <v>83</v>
      </c>
      <c r="AY3" s="46" t="s">
        <v>190</v>
      </c>
      <c r="AZ3" s="47" t="s">
        <v>68</v>
      </c>
      <c r="BA3" s="46" t="s">
        <v>191</v>
      </c>
      <c r="BB3" s="46" t="s">
        <v>10</v>
      </c>
      <c r="BC3" s="48" t="s">
        <v>64</v>
      </c>
    </row>
    <row r="4" spans="1:55" ht="48" x14ac:dyDescent="0.25">
      <c r="A4" s="43" t="s">
        <v>232</v>
      </c>
      <c r="B4" s="40"/>
      <c r="C4" s="49" t="s">
        <v>1</v>
      </c>
      <c r="D4" s="57" t="s">
        <v>11</v>
      </c>
      <c r="E4" s="57" t="s">
        <v>156</v>
      </c>
      <c r="F4" s="57" t="s">
        <v>12</v>
      </c>
      <c r="G4" s="57" t="s">
        <v>13</v>
      </c>
      <c r="H4" s="57" t="s">
        <v>14</v>
      </c>
      <c r="I4" s="57" t="s">
        <v>15</v>
      </c>
      <c r="J4" s="57"/>
      <c r="K4" s="57"/>
      <c r="L4" s="57" t="s">
        <v>75</v>
      </c>
      <c r="M4" s="57" t="s">
        <v>234</v>
      </c>
      <c r="N4" s="57" t="s">
        <v>235</v>
      </c>
      <c r="O4" s="34" t="s">
        <v>16</v>
      </c>
      <c r="P4" s="34" t="s">
        <v>17</v>
      </c>
      <c r="Q4" s="34" t="s">
        <v>74</v>
      </c>
      <c r="R4" s="35">
        <v>34</v>
      </c>
      <c r="S4" s="36" t="s">
        <v>21</v>
      </c>
      <c r="T4" s="34" t="s">
        <v>22</v>
      </c>
      <c r="U4" s="36" t="s">
        <v>21</v>
      </c>
      <c r="V4" s="35" t="s">
        <v>39</v>
      </c>
      <c r="W4" s="57" t="s">
        <v>18</v>
      </c>
      <c r="X4" s="37" t="s">
        <v>19</v>
      </c>
      <c r="Y4" s="37"/>
      <c r="Z4" s="37" t="s">
        <v>20</v>
      </c>
      <c r="AA4" s="57">
        <v>175</v>
      </c>
      <c r="AB4" s="34" t="s">
        <v>24</v>
      </c>
      <c r="AC4" s="34" t="s">
        <v>38</v>
      </c>
      <c r="AD4" s="34" t="s">
        <v>25</v>
      </c>
      <c r="AE4" s="34" t="s">
        <v>38</v>
      </c>
      <c r="AF4" s="36" t="s">
        <v>39</v>
      </c>
      <c r="AG4" s="34" t="s">
        <v>38</v>
      </c>
      <c r="AH4" s="36" t="s">
        <v>26</v>
      </c>
      <c r="AI4" s="36" t="s">
        <v>27</v>
      </c>
      <c r="AJ4" s="38" t="s">
        <v>28</v>
      </c>
      <c r="AK4" s="36"/>
      <c r="AL4" s="36" t="s">
        <v>39</v>
      </c>
      <c r="AM4" s="34" t="s">
        <v>38</v>
      </c>
      <c r="AN4" s="36" t="s">
        <v>35</v>
      </c>
      <c r="AO4" s="38" t="s">
        <v>29</v>
      </c>
      <c r="AP4" s="38"/>
      <c r="AQ4" s="34" t="s">
        <v>30</v>
      </c>
      <c r="AR4" s="34" t="s">
        <v>30</v>
      </c>
      <c r="AS4" s="34" t="s">
        <v>33</v>
      </c>
      <c r="AT4" s="34" t="s">
        <v>32</v>
      </c>
      <c r="AU4" s="34"/>
      <c r="AV4" s="34">
        <v>34</v>
      </c>
      <c r="AW4" s="34" t="s">
        <v>31</v>
      </c>
      <c r="AX4" s="34"/>
      <c r="AY4" s="38" t="s">
        <v>36</v>
      </c>
      <c r="AZ4" s="37" t="s">
        <v>37</v>
      </c>
      <c r="BA4" s="57">
        <v>68</v>
      </c>
      <c r="BB4" s="57" t="s">
        <v>34</v>
      </c>
      <c r="BC4" s="50" t="s">
        <v>152</v>
      </c>
    </row>
    <row r="5" spans="1:55" s="11" customFormat="1" ht="24" x14ac:dyDescent="0.25">
      <c r="A5" s="43" t="s">
        <v>200</v>
      </c>
      <c r="B5" s="40"/>
      <c r="C5" s="49"/>
      <c r="D5" s="57" t="s">
        <v>44</v>
      </c>
      <c r="E5" s="57" t="s">
        <v>44</v>
      </c>
      <c r="F5" s="57" t="s">
        <v>44</v>
      </c>
      <c r="G5" s="57" t="s">
        <v>44</v>
      </c>
      <c r="H5" s="57" t="s">
        <v>44</v>
      </c>
      <c r="I5" s="57" t="s">
        <v>44</v>
      </c>
      <c r="J5" s="57" t="s">
        <v>44</v>
      </c>
      <c r="K5" s="57" t="s">
        <v>44</v>
      </c>
      <c r="L5" s="57" t="s">
        <v>44</v>
      </c>
      <c r="M5" s="57" t="s">
        <v>44</v>
      </c>
      <c r="N5" s="57" t="s">
        <v>44</v>
      </c>
      <c r="O5" s="57" t="s">
        <v>44</v>
      </c>
      <c r="P5" s="57" t="s">
        <v>44</v>
      </c>
      <c r="Q5" s="57" t="s">
        <v>44</v>
      </c>
      <c r="R5" s="57" t="s">
        <v>45</v>
      </c>
      <c r="S5" s="57" t="s">
        <v>177</v>
      </c>
      <c r="T5" s="57" t="s">
        <v>177</v>
      </c>
      <c r="U5" s="57" t="s">
        <v>46</v>
      </c>
      <c r="V5" s="57" t="s">
        <v>46</v>
      </c>
      <c r="W5" s="57" t="s">
        <v>46</v>
      </c>
      <c r="X5" s="57" t="s">
        <v>46</v>
      </c>
      <c r="Y5" s="57" t="s">
        <v>46</v>
      </c>
      <c r="Z5" s="57" t="s">
        <v>46</v>
      </c>
      <c r="AA5" s="57" t="s">
        <v>45</v>
      </c>
      <c r="AB5" s="57" t="s">
        <v>47</v>
      </c>
      <c r="AC5" s="57" t="s">
        <v>46</v>
      </c>
      <c r="AD5" s="57" t="s">
        <v>46</v>
      </c>
      <c r="AE5" s="57" t="s">
        <v>48</v>
      </c>
      <c r="AF5" s="57" t="s">
        <v>46</v>
      </c>
      <c r="AG5" s="57" t="s">
        <v>47</v>
      </c>
      <c r="AH5" s="57" t="s">
        <v>177</v>
      </c>
      <c r="AI5" s="57" t="s">
        <v>45</v>
      </c>
      <c r="AJ5" s="57" t="s">
        <v>177</v>
      </c>
      <c r="AK5" s="57" t="s">
        <v>46</v>
      </c>
      <c r="AL5" s="57" t="s">
        <v>46</v>
      </c>
      <c r="AM5" s="57" t="s">
        <v>46</v>
      </c>
      <c r="AN5" s="57" t="s">
        <v>47</v>
      </c>
      <c r="AO5" s="57" t="s">
        <v>47</v>
      </c>
      <c r="AP5" s="57" t="s">
        <v>47</v>
      </c>
      <c r="AQ5" s="57" t="s">
        <v>50</v>
      </c>
      <c r="AR5" s="57" t="s">
        <v>177</v>
      </c>
      <c r="AS5" s="57" t="s">
        <v>46</v>
      </c>
      <c r="AT5" s="57" t="s">
        <v>46</v>
      </c>
      <c r="AU5" s="57" t="s">
        <v>46</v>
      </c>
      <c r="AV5" s="57" t="s">
        <v>45</v>
      </c>
      <c r="AW5" s="57" t="s">
        <v>47</v>
      </c>
      <c r="AX5" s="57" t="s">
        <v>49</v>
      </c>
      <c r="AY5" s="57" t="s">
        <v>47</v>
      </c>
      <c r="AZ5" s="57" t="s">
        <v>177</v>
      </c>
      <c r="BA5" s="57" t="s">
        <v>45</v>
      </c>
      <c r="BB5" s="57" t="s">
        <v>177</v>
      </c>
      <c r="BC5" s="50" t="s">
        <v>50</v>
      </c>
    </row>
    <row r="6" spans="1:55" ht="36" x14ac:dyDescent="0.25">
      <c r="A6" s="43" t="s">
        <v>201</v>
      </c>
      <c r="B6" s="40"/>
      <c r="C6" s="49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 t="s">
        <v>142</v>
      </c>
      <c r="T6" s="57" t="s">
        <v>142</v>
      </c>
      <c r="U6" s="57" t="s">
        <v>142</v>
      </c>
      <c r="V6" s="57" t="s">
        <v>143</v>
      </c>
      <c r="W6" s="57" t="s">
        <v>143</v>
      </c>
      <c r="X6" s="57" t="s">
        <v>142</v>
      </c>
      <c r="Y6" s="57" t="s">
        <v>142</v>
      </c>
      <c r="Z6" s="57" t="s">
        <v>142</v>
      </c>
      <c r="AA6" s="57"/>
      <c r="AB6" s="57" t="s">
        <v>142</v>
      </c>
      <c r="AC6" s="57" t="s">
        <v>142</v>
      </c>
      <c r="AD6" s="57" t="s">
        <v>142</v>
      </c>
      <c r="AE6" s="57" t="s">
        <v>143</v>
      </c>
      <c r="AF6" s="57" t="s">
        <v>142</v>
      </c>
      <c r="AG6" s="57" t="s">
        <v>142</v>
      </c>
      <c r="AH6" s="57" t="s">
        <v>142</v>
      </c>
      <c r="AI6" s="57"/>
      <c r="AJ6" s="57" t="s">
        <v>142</v>
      </c>
      <c r="AK6" s="57" t="s">
        <v>142</v>
      </c>
      <c r="AL6" s="57" t="s">
        <v>142</v>
      </c>
      <c r="AM6" s="57" t="s">
        <v>143</v>
      </c>
      <c r="AN6" s="57" t="s">
        <v>142</v>
      </c>
      <c r="AO6" s="57" t="s">
        <v>142</v>
      </c>
      <c r="AP6" s="57" t="s">
        <v>142</v>
      </c>
      <c r="AQ6" s="57" t="s">
        <v>142</v>
      </c>
      <c r="AR6" s="57" t="s">
        <v>142</v>
      </c>
      <c r="AS6" s="57" t="s">
        <v>143</v>
      </c>
      <c r="AT6" s="57" t="s">
        <v>143</v>
      </c>
      <c r="AU6" s="57" t="s">
        <v>142</v>
      </c>
      <c r="AV6" s="57"/>
      <c r="AW6" s="57" t="s">
        <v>142</v>
      </c>
      <c r="AX6" s="57" t="s">
        <v>143</v>
      </c>
      <c r="AY6" s="57" t="s">
        <v>142</v>
      </c>
      <c r="AZ6" s="57" t="s">
        <v>142</v>
      </c>
      <c r="BA6" s="57"/>
      <c r="BB6" s="57"/>
      <c r="BC6" s="51"/>
    </row>
    <row r="7" spans="1:55" ht="72" x14ac:dyDescent="0.25">
      <c r="A7" s="43" t="s">
        <v>236</v>
      </c>
      <c r="B7" s="40"/>
      <c r="C7" s="49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39" t="s">
        <v>133</v>
      </c>
      <c r="T7" s="39" t="s">
        <v>192</v>
      </c>
      <c r="U7" s="39" t="s">
        <v>178</v>
      </c>
      <c r="V7" s="34" t="s">
        <v>144</v>
      </c>
      <c r="W7" s="34" t="s">
        <v>145</v>
      </c>
      <c r="X7" s="39" t="s">
        <v>96</v>
      </c>
      <c r="Y7" s="39" t="s">
        <v>93</v>
      </c>
      <c r="Z7" s="34" t="s">
        <v>195</v>
      </c>
      <c r="AA7" s="57"/>
      <c r="AB7" s="39" t="s">
        <v>179</v>
      </c>
      <c r="AC7" s="34" t="s">
        <v>193</v>
      </c>
      <c r="AD7" s="39" t="s">
        <v>148</v>
      </c>
      <c r="AE7" s="34" t="s">
        <v>196</v>
      </c>
      <c r="AF7" s="34" t="s">
        <v>86</v>
      </c>
      <c r="AG7" s="34" t="s">
        <v>137</v>
      </c>
      <c r="AH7" s="39" t="s">
        <v>97</v>
      </c>
      <c r="AI7" s="57"/>
      <c r="AJ7" s="39" t="s">
        <v>87</v>
      </c>
      <c r="AK7" s="39" t="s">
        <v>95</v>
      </c>
      <c r="AL7" s="34" t="s">
        <v>88</v>
      </c>
      <c r="AM7" s="34" t="s">
        <v>197</v>
      </c>
      <c r="AN7" s="39" t="s">
        <v>194</v>
      </c>
      <c r="AO7" s="39" t="s">
        <v>183</v>
      </c>
      <c r="AP7" s="39" t="s">
        <v>184</v>
      </c>
      <c r="AQ7" s="57" t="s">
        <v>149</v>
      </c>
      <c r="AR7" s="39" t="s">
        <v>188</v>
      </c>
      <c r="AS7" s="34" t="s">
        <v>146</v>
      </c>
      <c r="AT7" s="34" t="s">
        <v>147</v>
      </c>
      <c r="AU7" s="34" t="s">
        <v>89</v>
      </c>
      <c r="AV7" s="57"/>
      <c r="AW7" s="39" t="s">
        <v>189</v>
      </c>
      <c r="AX7" s="39" t="s">
        <v>90</v>
      </c>
      <c r="AY7" s="39" t="s">
        <v>91</v>
      </c>
      <c r="AZ7" s="39" t="s">
        <v>92</v>
      </c>
      <c r="BA7" s="57"/>
      <c r="BB7" s="57"/>
      <c r="BC7" s="51"/>
    </row>
    <row r="8" spans="1:55" ht="24.75" thickBot="1" x14ac:dyDescent="0.3">
      <c r="A8" s="44" t="s">
        <v>202</v>
      </c>
      <c r="B8" s="40"/>
      <c r="C8" s="52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86">
        <v>80</v>
      </c>
      <c r="T8" s="86"/>
      <c r="U8" s="86"/>
      <c r="V8" s="86"/>
      <c r="W8" s="86"/>
      <c r="X8" s="55">
        <v>90</v>
      </c>
      <c r="Y8" s="54">
        <v>90</v>
      </c>
      <c r="Z8" s="87">
        <v>90</v>
      </c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6">
        <v>90</v>
      </c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55">
        <v>22</v>
      </c>
      <c r="AY8" s="86">
        <v>15</v>
      </c>
      <c r="AZ8" s="86"/>
      <c r="BA8" s="55"/>
      <c r="BB8" s="55"/>
      <c r="BC8" s="53"/>
    </row>
    <row r="9" spans="1:55" x14ac:dyDescent="0.25">
      <c r="A9" s="11"/>
      <c r="B9" s="11"/>
    </row>
    <row r="10" spans="1:55" x14ac:dyDescent="0.25">
      <c r="A10" s="11"/>
      <c r="B10" s="11"/>
    </row>
    <row r="11" spans="1:55" x14ac:dyDescent="0.25">
      <c r="A11" s="66"/>
      <c r="B11" s="66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</row>
    <row r="12" spans="1:55" s="68" customFormat="1" x14ac:dyDescent="0.25"/>
    <row r="13" spans="1:55" s="68" customFormat="1" x14ac:dyDescent="0.25">
      <c r="C13" s="66"/>
    </row>
    <row r="14" spans="1:55" s="68" customFormat="1" x14ac:dyDescent="0.25">
      <c r="C14" s="66"/>
    </row>
    <row r="15" spans="1:55" s="68" customFormat="1" x14ac:dyDescent="0.25">
      <c r="C15" s="66"/>
    </row>
    <row r="16" spans="1:55" s="68" customFormat="1" x14ac:dyDescent="0.25"/>
    <row r="17" spans="3:3" s="68" customFormat="1" x14ac:dyDescent="0.25">
      <c r="C17" s="66"/>
    </row>
    <row r="18" spans="3:3" s="68" customFormat="1" x14ac:dyDescent="0.25">
      <c r="C18" s="66"/>
    </row>
    <row r="19" spans="3:3" s="68" customFormat="1" x14ac:dyDescent="0.25">
      <c r="C19" s="66"/>
    </row>
    <row r="20" spans="3:3" s="68" customFormat="1" x14ac:dyDescent="0.25">
      <c r="C20" s="66"/>
    </row>
    <row r="21" spans="3:3" s="68" customFormat="1" x14ac:dyDescent="0.25">
      <c r="C21" s="66"/>
    </row>
    <row r="22" spans="3:3" s="68" customFormat="1" x14ac:dyDescent="0.25">
      <c r="C22" s="66"/>
    </row>
    <row r="23" spans="3:3" s="68" customFormat="1" x14ac:dyDescent="0.25">
      <c r="C23" s="66"/>
    </row>
    <row r="24" spans="3:3" s="68" customFormat="1" x14ac:dyDescent="0.25">
      <c r="C24" s="66"/>
    </row>
    <row r="25" spans="3:3" s="68" customFormat="1" x14ac:dyDescent="0.25">
      <c r="C25" s="66"/>
    </row>
    <row r="26" spans="3:3" s="68" customFormat="1" x14ac:dyDescent="0.25">
      <c r="C26" s="66"/>
    </row>
    <row r="27" spans="3:3" s="68" customFormat="1" x14ac:dyDescent="0.25"/>
    <row r="28" spans="3:3" s="68" customFormat="1" x14ac:dyDescent="0.25">
      <c r="C28" s="66"/>
    </row>
    <row r="29" spans="3:3" s="68" customFormat="1" x14ac:dyDescent="0.25">
      <c r="C29" s="66"/>
    </row>
    <row r="30" spans="3:3" s="68" customFormat="1" x14ac:dyDescent="0.25">
      <c r="C30" s="66"/>
    </row>
    <row r="31" spans="3:3" s="68" customFormat="1" x14ac:dyDescent="0.25">
      <c r="C31" s="66"/>
    </row>
    <row r="32" spans="3:3" s="68" customFormat="1" x14ac:dyDescent="0.25">
      <c r="C32" s="66"/>
    </row>
    <row r="33" spans="3:3" s="68" customFormat="1" x14ac:dyDescent="0.25">
      <c r="C33" s="66"/>
    </row>
    <row r="34" spans="3:3" s="68" customFormat="1" x14ac:dyDescent="0.25">
      <c r="C34" s="66"/>
    </row>
    <row r="35" spans="3:3" s="68" customFormat="1" x14ac:dyDescent="0.25">
      <c r="C35" s="66"/>
    </row>
    <row r="36" spans="3:3" s="68" customFormat="1" x14ac:dyDescent="0.25">
      <c r="C36" s="66"/>
    </row>
    <row r="37" spans="3:3" s="68" customFormat="1" x14ac:dyDescent="0.25"/>
    <row r="38" spans="3:3" s="68" customFormat="1" x14ac:dyDescent="0.25">
      <c r="C38" s="66"/>
    </row>
    <row r="39" spans="3:3" s="68" customFormat="1" x14ac:dyDescent="0.25">
      <c r="C39" s="66"/>
    </row>
    <row r="40" spans="3:3" s="68" customFormat="1" x14ac:dyDescent="0.25"/>
    <row r="41" spans="3:3" s="68" customFormat="1" x14ac:dyDescent="0.25">
      <c r="C41" s="66"/>
    </row>
    <row r="42" spans="3:3" s="68" customFormat="1" x14ac:dyDescent="0.25">
      <c r="C42" s="66"/>
    </row>
    <row r="43" spans="3:3" s="68" customFormat="1" x14ac:dyDescent="0.25">
      <c r="C43" s="66"/>
    </row>
    <row r="44" spans="3:3" s="68" customFormat="1" x14ac:dyDescent="0.25">
      <c r="C44" s="66"/>
    </row>
    <row r="45" spans="3:3" s="68" customFormat="1" x14ac:dyDescent="0.25">
      <c r="C45" s="66"/>
    </row>
    <row r="46" spans="3:3" s="68" customFormat="1" x14ac:dyDescent="0.25">
      <c r="C46" s="66"/>
    </row>
    <row r="47" spans="3:3" s="68" customFormat="1" x14ac:dyDescent="0.25">
      <c r="C47" s="66"/>
    </row>
    <row r="48" spans="3:3" s="68" customFormat="1" x14ac:dyDescent="0.25"/>
    <row r="49" spans="3:3" s="68" customFormat="1" x14ac:dyDescent="0.25">
      <c r="C49" s="66"/>
    </row>
    <row r="50" spans="3:3" s="68" customFormat="1" x14ac:dyDescent="0.25">
      <c r="C50" s="66"/>
    </row>
    <row r="51" spans="3:3" s="68" customFormat="1" x14ac:dyDescent="0.25">
      <c r="C51" s="66"/>
    </row>
    <row r="52" spans="3:3" s="68" customFormat="1" x14ac:dyDescent="0.25"/>
    <row r="53" spans="3:3" s="68" customFormat="1" x14ac:dyDescent="0.25"/>
    <row r="54" spans="3:3" s="68" customFormat="1" x14ac:dyDescent="0.25"/>
    <row r="55" spans="3:3" s="68" customFormat="1" x14ac:dyDescent="0.25"/>
    <row r="56" spans="3:3" s="68" customFormat="1" x14ac:dyDescent="0.25"/>
    <row r="57" spans="3:3" s="68" customFormat="1" x14ac:dyDescent="0.25"/>
    <row r="58" spans="3:3" s="68" customFormat="1" x14ac:dyDescent="0.25"/>
    <row r="59" spans="3:3" s="68" customFormat="1" x14ac:dyDescent="0.25"/>
    <row r="60" spans="3:3" s="68" customFormat="1" x14ac:dyDescent="0.25"/>
    <row r="61" spans="3:3" s="68" customFormat="1" x14ac:dyDescent="0.25"/>
    <row r="62" spans="3:3" s="68" customFormat="1" x14ac:dyDescent="0.25"/>
    <row r="63" spans="3:3" s="68" customFormat="1" x14ac:dyDescent="0.25"/>
    <row r="64" spans="3:3" s="68" customFormat="1" x14ac:dyDescent="0.25"/>
    <row r="65" s="68" customFormat="1" x14ac:dyDescent="0.25"/>
    <row r="66" s="68" customFormat="1" x14ac:dyDescent="0.25"/>
    <row r="67" s="68" customFormat="1" x14ac:dyDescent="0.25"/>
    <row r="68" s="68" customFormat="1" x14ac:dyDescent="0.25"/>
    <row r="69" s="68" customFormat="1" x14ac:dyDescent="0.25"/>
    <row r="70" s="68" customFormat="1" x14ac:dyDescent="0.25"/>
    <row r="71" s="68" customFormat="1" x14ac:dyDescent="0.25"/>
    <row r="72" s="68" customFormat="1" x14ac:dyDescent="0.25"/>
    <row r="73" s="68" customFormat="1" x14ac:dyDescent="0.25"/>
  </sheetData>
  <mergeCells count="5">
    <mergeCell ref="S8:W8"/>
    <mergeCell ref="Z8:AK8"/>
    <mergeCell ref="AL8:AW8"/>
    <mergeCell ref="AY8:AZ8"/>
    <mergeCell ref="C1:I1"/>
  </mergeCells>
  <pageMargins left="0.17" right="0.1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A85"/>
  <sheetViews>
    <sheetView zoomScale="90" zoomScaleNormal="90" workbookViewId="0">
      <selection activeCell="C8" sqref="C8"/>
    </sheetView>
  </sheetViews>
  <sheetFormatPr defaultColWidth="9.140625" defaultRowHeight="14.25" x14ac:dyDescent="0.25"/>
  <cols>
    <col min="1" max="1" width="9.140625" style="64"/>
    <col min="2" max="2" width="7.28515625" style="64" customWidth="1"/>
    <col min="3" max="3" width="15.28515625" style="64" customWidth="1"/>
    <col min="4" max="4" width="17.85546875" style="64" bestFit="1" customWidth="1"/>
    <col min="5" max="5" width="34.5703125" style="64" bestFit="1" customWidth="1"/>
    <col min="6" max="6" width="39.28515625" style="64" customWidth="1"/>
    <col min="7" max="7" width="19.85546875" style="64" customWidth="1"/>
    <col min="8" max="8" width="35.7109375" style="64" bestFit="1" customWidth="1"/>
    <col min="9" max="10" width="6.5703125" style="64" customWidth="1"/>
    <col min="11" max="11" width="7" style="64" customWidth="1"/>
    <col min="12" max="12" width="7.7109375" style="64" customWidth="1"/>
    <col min="13" max="14" width="7.5703125" style="64" customWidth="1"/>
    <col min="15" max="15" width="7.85546875" style="64" customWidth="1"/>
    <col min="16" max="16" width="10.5703125" style="64" customWidth="1"/>
    <col min="17" max="17" width="7.85546875" style="64" customWidth="1"/>
    <col min="18" max="18" width="8.42578125" style="64" customWidth="1"/>
    <col min="19" max="19" width="10.140625" style="64" customWidth="1"/>
    <col min="20" max="21" width="9.28515625" style="64" customWidth="1"/>
    <col min="22" max="24" width="8.28515625" style="64" customWidth="1"/>
    <col min="25" max="25" width="10.28515625" style="64" customWidth="1"/>
    <col min="26" max="27" width="8.28515625" style="64" customWidth="1"/>
    <col min="28" max="29" width="10.28515625" style="64" customWidth="1"/>
    <col min="30" max="32" width="8.28515625" style="64" customWidth="1"/>
    <col min="33" max="33" width="8.85546875" style="64" customWidth="1"/>
    <col min="34" max="35" width="8.28515625" style="64" customWidth="1"/>
    <col min="36" max="36" width="8.85546875" style="64" customWidth="1"/>
    <col min="37" max="37" width="9" style="64" customWidth="1"/>
    <col min="38" max="43" width="8" style="64" customWidth="1"/>
    <col min="44" max="44" width="9.28515625" style="64" customWidth="1"/>
    <col min="45" max="45" width="9.5703125" style="64" customWidth="1"/>
    <col min="46" max="46" width="9.140625" style="64" customWidth="1"/>
    <col min="47" max="48" width="9" style="64" customWidth="1"/>
    <col min="49" max="50" width="8.42578125" style="64" customWidth="1"/>
    <col min="51" max="51" width="8.140625" style="64" customWidth="1"/>
    <col min="52" max="52" width="8.5703125" style="64" customWidth="1"/>
    <col min="53" max="53" width="7.5703125" style="64" customWidth="1"/>
    <col min="54" max="54" width="13.42578125" style="64" customWidth="1"/>
    <col min="55" max="55" width="10.85546875" style="64" customWidth="1"/>
    <col min="56" max="56" width="27" style="64" customWidth="1"/>
    <col min="57" max="57" width="29.7109375" style="64" customWidth="1"/>
    <col min="58" max="58" width="23" style="64" customWidth="1"/>
    <col min="59" max="59" width="21.5703125" style="64" customWidth="1"/>
    <col min="60" max="60" width="16.140625" style="64" customWidth="1"/>
    <col min="61" max="61" width="25.7109375" style="64" customWidth="1"/>
    <col min="62" max="62" width="14.85546875" style="64" customWidth="1"/>
    <col min="63" max="63" width="54" style="64" customWidth="1"/>
    <col min="64" max="16384" width="9.140625" style="64"/>
  </cols>
  <sheetData>
    <row r="1" spans="2:53" ht="42" customHeight="1" x14ac:dyDescent="0.25">
      <c r="D1" s="65"/>
      <c r="E1" s="65"/>
      <c r="F1" s="65"/>
      <c r="G1" s="65"/>
    </row>
    <row r="2" spans="2:53" x14ac:dyDescent="0.25">
      <c r="B2" s="11"/>
      <c r="C2" s="11"/>
    </row>
    <row r="3" spans="2:53" x14ac:dyDescent="0.25">
      <c r="B3" s="11"/>
      <c r="C3" s="11"/>
    </row>
    <row r="4" spans="2:53" x14ac:dyDescent="0.25">
      <c r="B4" s="66"/>
      <c r="C4" s="66"/>
      <c r="D4" s="67"/>
      <c r="E4" s="67"/>
      <c r="F4" s="67"/>
      <c r="G4" s="67"/>
      <c r="H4" s="67"/>
      <c r="I4" s="67"/>
      <c r="J4" s="67"/>
      <c r="K4" s="67"/>
      <c r="L4" s="67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</row>
    <row r="5" spans="2:53" ht="57" x14ac:dyDescent="0.25">
      <c r="C5" s="11" t="s">
        <v>43</v>
      </c>
      <c r="D5" s="56" t="s">
        <v>44</v>
      </c>
      <c r="E5" s="69" t="s">
        <v>10</v>
      </c>
      <c r="F5" s="69"/>
      <c r="G5" s="69"/>
      <c r="H5" s="69"/>
    </row>
    <row r="6" spans="2:53" ht="21.75" customHeight="1" x14ac:dyDescent="0.25">
      <c r="B6" s="11"/>
      <c r="C6" s="11"/>
      <c r="D6" s="89" t="s">
        <v>51</v>
      </c>
      <c r="E6" s="70" t="s">
        <v>237</v>
      </c>
      <c r="F6" s="70" t="s">
        <v>227</v>
      </c>
      <c r="G6" s="59" t="s">
        <v>46</v>
      </c>
      <c r="H6" s="70" t="s">
        <v>238</v>
      </c>
    </row>
    <row r="7" spans="2:53" ht="21.75" customHeight="1" x14ac:dyDescent="0.25">
      <c r="B7" s="11"/>
      <c r="C7" s="11"/>
      <c r="D7" s="90"/>
      <c r="E7" s="59" t="s">
        <v>203</v>
      </c>
      <c r="F7" s="59" t="s">
        <v>204</v>
      </c>
      <c r="G7" s="59" t="s">
        <v>46</v>
      </c>
      <c r="H7" s="71" t="s">
        <v>205</v>
      </c>
    </row>
    <row r="8" spans="2:53" ht="21.75" customHeight="1" x14ac:dyDescent="0.25">
      <c r="B8" s="11"/>
      <c r="C8" s="11"/>
      <c r="D8" s="90"/>
      <c r="E8" s="72" t="s">
        <v>206</v>
      </c>
      <c r="F8" s="59" t="s">
        <v>207</v>
      </c>
      <c r="G8" s="59" t="s">
        <v>46</v>
      </c>
      <c r="H8" s="73" t="s">
        <v>208</v>
      </c>
    </row>
    <row r="9" spans="2:53" ht="21.75" customHeight="1" x14ac:dyDescent="0.25">
      <c r="B9" s="11"/>
      <c r="C9" s="11"/>
      <c r="D9" s="90"/>
      <c r="E9" s="72" t="s">
        <v>209</v>
      </c>
      <c r="F9" s="59" t="s">
        <v>210</v>
      </c>
      <c r="G9" s="59" t="s">
        <v>46</v>
      </c>
      <c r="H9" s="71" t="s">
        <v>211</v>
      </c>
    </row>
    <row r="10" spans="2:53" ht="21.75" customHeight="1" x14ac:dyDescent="0.25">
      <c r="B10" s="11"/>
      <c r="C10" s="11"/>
      <c r="D10" s="91"/>
      <c r="E10" s="72" t="s">
        <v>239</v>
      </c>
      <c r="F10" s="59" t="s">
        <v>215</v>
      </c>
      <c r="G10" s="59" t="s">
        <v>46</v>
      </c>
      <c r="H10" s="71" t="s">
        <v>240</v>
      </c>
    </row>
    <row r="11" spans="2:53" ht="21.75" customHeight="1" x14ac:dyDescent="0.25">
      <c r="B11" s="11"/>
      <c r="C11" s="11"/>
      <c r="D11" s="89" t="s">
        <v>52</v>
      </c>
      <c r="E11" s="72" t="s">
        <v>212</v>
      </c>
      <c r="F11" s="72" t="s">
        <v>204</v>
      </c>
      <c r="G11" s="59" t="s">
        <v>46</v>
      </c>
      <c r="H11" s="72" t="s">
        <v>213</v>
      </c>
    </row>
    <row r="12" spans="2:53" ht="21.75" customHeight="1" x14ac:dyDescent="0.25">
      <c r="B12" s="11"/>
      <c r="C12" s="11"/>
      <c r="D12" s="90"/>
      <c r="E12" s="72" t="s">
        <v>214</v>
      </c>
      <c r="F12" s="72" t="s">
        <v>215</v>
      </c>
      <c r="G12" s="59" t="s">
        <v>46</v>
      </c>
      <c r="H12" s="72" t="s">
        <v>216</v>
      </c>
    </row>
    <row r="13" spans="2:53" ht="21.75" customHeight="1" x14ac:dyDescent="0.25">
      <c r="B13" s="11"/>
      <c r="C13" s="11"/>
      <c r="D13" s="91"/>
      <c r="E13" s="72" t="s">
        <v>217</v>
      </c>
      <c r="F13" s="72" t="s">
        <v>210</v>
      </c>
      <c r="G13" s="59" t="s">
        <v>218</v>
      </c>
      <c r="H13" s="72" t="s">
        <v>219</v>
      </c>
    </row>
    <row r="14" spans="2:53" ht="21.75" customHeight="1" x14ac:dyDescent="0.25">
      <c r="B14" s="11"/>
      <c r="C14" s="11"/>
      <c r="D14" s="89" t="s">
        <v>47</v>
      </c>
      <c r="E14" s="72" t="s">
        <v>220</v>
      </c>
      <c r="F14" s="72" t="s">
        <v>210</v>
      </c>
      <c r="G14" s="59" t="s">
        <v>221</v>
      </c>
      <c r="H14" s="70" t="s">
        <v>222</v>
      </c>
    </row>
    <row r="15" spans="2:53" ht="21.75" customHeight="1" x14ac:dyDescent="0.25">
      <c r="B15" s="11"/>
      <c r="C15" s="11"/>
      <c r="D15" s="91"/>
      <c r="E15" s="72" t="s">
        <v>223</v>
      </c>
      <c r="F15" s="72" t="s">
        <v>224</v>
      </c>
      <c r="G15" s="59" t="s">
        <v>221</v>
      </c>
      <c r="H15" s="72" t="s">
        <v>225</v>
      </c>
    </row>
    <row r="16" spans="2:53" ht="21.75" customHeight="1" x14ac:dyDescent="0.25">
      <c r="B16" s="11"/>
      <c r="C16" s="11"/>
      <c r="D16" s="89" t="s">
        <v>50</v>
      </c>
      <c r="E16" s="72" t="s">
        <v>226</v>
      </c>
      <c r="F16" s="72" t="s">
        <v>227</v>
      </c>
      <c r="G16" s="59" t="s">
        <v>50</v>
      </c>
      <c r="H16" s="70" t="s">
        <v>228</v>
      </c>
    </row>
    <row r="17" spans="2:8" ht="21.75" customHeight="1" x14ac:dyDescent="0.25">
      <c r="B17" s="11"/>
      <c r="C17" s="11"/>
      <c r="D17" s="91"/>
      <c r="E17" s="72" t="s">
        <v>229</v>
      </c>
      <c r="F17" s="72" t="s">
        <v>230</v>
      </c>
      <c r="G17" s="59" t="s">
        <v>50</v>
      </c>
      <c r="H17" s="72" t="s">
        <v>231</v>
      </c>
    </row>
    <row r="18" spans="2:8" ht="21.75" customHeight="1" x14ac:dyDescent="0.25">
      <c r="B18" s="11"/>
      <c r="C18" s="11"/>
      <c r="D18" s="56" t="s">
        <v>53</v>
      </c>
      <c r="E18" s="74" t="s">
        <v>242</v>
      </c>
      <c r="F18" s="74" t="s">
        <v>241</v>
      </c>
      <c r="G18" s="74" t="s">
        <v>59</v>
      </c>
      <c r="H18" s="71" t="s">
        <v>243</v>
      </c>
    </row>
    <row r="19" spans="2:8" s="68" customFormat="1" ht="21.75" customHeight="1" x14ac:dyDescent="0.25">
      <c r="B19" s="66"/>
      <c r="C19" s="66"/>
      <c r="D19" s="56" t="s">
        <v>157</v>
      </c>
      <c r="E19" s="74" t="s">
        <v>158</v>
      </c>
      <c r="F19" s="74" t="s">
        <v>230</v>
      </c>
      <c r="G19" s="74" t="s">
        <v>244</v>
      </c>
      <c r="H19" s="71" t="s">
        <v>245</v>
      </c>
    </row>
    <row r="20" spans="2:8" s="68" customFormat="1" x14ac:dyDescent="0.25">
      <c r="D20" s="66"/>
    </row>
    <row r="21" spans="2:8" s="68" customFormat="1" x14ac:dyDescent="0.25">
      <c r="D21" s="66"/>
    </row>
    <row r="22" spans="2:8" s="68" customFormat="1" x14ac:dyDescent="0.25">
      <c r="D22" s="66"/>
    </row>
    <row r="23" spans="2:8" s="68" customFormat="1" x14ac:dyDescent="0.25">
      <c r="D23" s="66"/>
    </row>
    <row r="24" spans="2:8" s="68" customFormat="1" x14ac:dyDescent="0.25"/>
    <row r="25" spans="2:8" s="68" customFormat="1" x14ac:dyDescent="0.25">
      <c r="D25" s="66"/>
    </row>
    <row r="26" spans="2:8" s="68" customFormat="1" x14ac:dyDescent="0.25">
      <c r="D26" s="66"/>
    </row>
    <row r="27" spans="2:8" s="68" customFormat="1" x14ac:dyDescent="0.25">
      <c r="D27" s="66"/>
    </row>
    <row r="28" spans="2:8" s="68" customFormat="1" x14ac:dyDescent="0.25"/>
    <row r="29" spans="2:8" s="68" customFormat="1" x14ac:dyDescent="0.25">
      <c r="D29" s="66"/>
    </row>
    <row r="30" spans="2:8" s="68" customFormat="1" x14ac:dyDescent="0.25">
      <c r="D30" s="66"/>
    </row>
    <row r="31" spans="2:8" s="68" customFormat="1" x14ac:dyDescent="0.25">
      <c r="D31" s="66"/>
    </row>
    <row r="32" spans="2:8" s="68" customFormat="1" x14ac:dyDescent="0.25">
      <c r="D32" s="66"/>
    </row>
    <row r="33" spans="4:4" s="68" customFormat="1" x14ac:dyDescent="0.25">
      <c r="D33" s="66"/>
    </row>
    <row r="34" spans="4:4" s="68" customFormat="1" x14ac:dyDescent="0.25">
      <c r="D34" s="66"/>
    </row>
    <row r="35" spans="4:4" s="68" customFormat="1" x14ac:dyDescent="0.25">
      <c r="D35" s="66"/>
    </row>
    <row r="36" spans="4:4" s="68" customFormat="1" x14ac:dyDescent="0.25">
      <c r="D36" s="66"/>
    </row>
    <row r="37" spans="4:4" s="68" customFormat="1" x14ac:dyDescent="0.25">
      <c r="D37" s="66"/>
    </row>
    <row r="38" spans="4:4" s="68" customFormat="1" x14ac:dyDescent="0.25">
      <c r="D38" s="66"/>
    </row>
    <row r="39" spans="4:4" s="68" customFormat="1" x14ac:dyDescent="0.25"/>
    <row r="40" spans="4:4" s="68" customFormat="1" x14ac:dyDescent="0.25">
      <c r="D40" s="66"/>
    </row>
    <row r="41" spans="4:4" s="68" customFormat="1" x14ac:dyDescent="0.25">
      <c r="D41" s="66"/>
    </row>
    <row r="42" spans="4:4" s="68" customFormat="1" x14ac:dyDescent="0.25">
      <c r="D42" s="66"/>
    </row>
    <row r="43" spans="4:4" s="68" customFormat="1" x14ac:dyDescent="0.25">
      <c r="D43" s="66"/>
    </row>
    <row r="44" spans="4:4" s="68" customFormat="1" x14ac:dyDescent="0.25">
      <c r="D44" s="66"/>
    </row>
    <row r="45" spans="4:4" s="68" customFormat="1" x14ac:dyDescent="0.25">
      <c r="D45" s="66"/>
    </row>
    <row r="46" spans="4:4" s="68" customFormat="1" x14ac:dyDescent="0.25">
      <c r="D46" s="66"/>
    </row>
    <row r="47" spans="4:4" s="68" customFormat="1" x14ac:dyDescent="0.25">
      <c r="D47" s="66"/>
    </row>
    <row r="48" spans="4:4" s="68" customFormat="1" x14ac:dyDescent="0.25">
      <c r="D48" s="66"/>
    </row>
    <row r="49" spans="4:4" s="68" customFormat="1" x14ac:dyDescent="0.25"/>
    <row r="50" spans="4:4" s="68" customFormat="1" x14ac:dyDescent="0.25">
      <c r="D50" s="66"/>
    </row>
    <row r="51" spans="4:4" s="68" customFormat="1" x14ac:dyDescent="0.25">
      <c r="D51" s="66"/>
    </row>
    <row r="52" spans="4:4" s="68" customFormat="1" x14ac:dyDescent="0.25"/>
    <row r="53" spans="4:4" s="68" customFormat="1" x14ac:dyDescent="0.25">
      <c r="D53" s="66"/>
    </row>
    <row r="54" spans="4:4" s="68" customFormat="1" x14ac:dyDescent="0.25">
      <c r="D54" s="66"/>
    </row>
    <row r="55" spans="4:4" s="68" customFormat="1" x14ac:dyDescent="0.25">
      <c r="D55" s="66"/>
    </row>
    <row r="56" spans="4:4" s="68" customFormat="1" x14ac:dyDescent="0.25">
      <c r="D56" s="66"/>
    </row>
    <row r="57" spans="4:4" s="68" customFormat="1" x14ac:dyDescent="0.25">
      <c r="D57" s="66"/>
    </row>
    <row r="58" spans="4:4" s="68" customFormat="1" x14ac:dyDescent="0.25">
      <c r="D58" s="66"/>
    </row>
    <row r="59" spans="4:4" s="68" customFormat="1" x14ac:dyDescent="0.25">
      <c r="D59" s="66"/>
    </row>
    <row r="60" spans="4:4" s="68" customFormat="1" x14ac:dyDescent="0.25"/>
    <row r="61" spans="4:4" s="68" customFormat="1" x14ac:dyDescent="0.25">
      <c r="D61" s="66"/>
    </row>
    <row r="62" spans="4:4" s="68" customFormat="1" x14ac:dyDescent="0.25">
      <c r="D62" s="66"/>
    </row>
    <row r="63" spans="4:4" s="68" customFormat="1" x14ac:dyDescent="0.25">
      <c r="D63" s="66"/>
    </row>
    <row r="64" spans="4:4" s="68" customFormat="1" x14ac:dyDescent="0.25"/>
    <row r="65" s="68" customFormat="1" x14ac:dyDescent="0.25"/>
    <row r="66" s="68" customFormat="1" x14ac:dyDescent="0.25"/>
    <row r="67" s="68" customFormat="1" x14ac:dyDescent="0.25"/>
    <row r="68" s="68" customFormat="1" x14ac:dyDescent="0.25"/>
    <row r="69" s="68" customFormat="1" x14ac:dyDescent="0.25"/>
    <row r="70" s="68" customFormat="1" x14ac:dyDescent="0.25"/>
    <row r="71" s="68" customFormat="1" x14ac:dyDescent="0.25"/>
    <row r="72" s="68" customFormat="1" x14ac:dyDescent="0.25"/>
    <row r="73" s="68" customFormat="1" x14ac:dyDescent="0.25"/>
    <row r="74" s="68" customFormat="1" x14ac:dyDescent="0.25"/>
    <row r="75" s="68" customFormat="1" x14ac:dyDescent="0.25"/>
    <row r="76" s="68" customFormat="1" x14ac:dyDescent="0.25"/>
    <row r="77" s="68" customFormat="1" x14ac:dyDescent="0.25"/>
    <row r="78" s="68" customFormat="1" x14ac:dyDescent="0.25"/>
    <row r="79" s="68" customFormat="1" x14ac:dyDescent="0.25"/>
    <row r="80" s="68" customFormat="1" x14ac:dyDescent="0.25"/>
    <row r="81" s="68" customFormat="1" x14ac:dyDescent="0.25"/>
    <row r="82" s="68" customFormat="1" x14ac:dyDescent="0.25"/>
    <row r="83" s="68" customFormat="1" x14ac:dyDescent="0.25"/>
    <row r="84" s="68" customFormat="1" x14ac:dyDescent="0.25"/>
    <row r="85" s="68" customFormat="1" x14ac:dyDescent="0.25"/>
  </sheetData>
  <mergeCells count="4">
    <mergeCell ref="D6:D10"/>
    <mergeCell ref="D11:D13"/>
    <mergeCell ref="D14:D15"/>
    <mergeCell ref="D16:D17"/>
  </mergeCells>
  <pageMargins left="0.17" right="0.1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2"/>
  <sheetViews>
    <sheetView workbookViewId="0">
      <selection activeCell="B2" sqref="B2:E2"/>
    </sheetView>
  </sheetViews>
  <sheetFormatPr defaultRowHeight="14.25" x14ac:dyDescent="0.2"/>
  <cols>
    <col min="1" max="1" width="7.5703125" style="2" customWidth="1"/>
    <col min="2" max="2" width="9.140625" style="2"/>
    <col min="3" max="3" width="31.28515625" style="2" customWidth="1"/>
    <col min="4" max="4" width="23.5703125" style="2" customWidth="1"/>
    <col min="5" max="5" width="20.42578125" style="2" customWidth="1"/>
    <col min="6" max="16384" width="9.140625" style="2"/>
  </cols>
  <sheetData>
    <row r="2" spans="2:5" ht="35.25" customHeight="1" thickBot="1" x14ac:dyDescent="0.25">
      <c r="B2" s="92" t="s">
        <v>154</v>
      </c>
      <c r="C2" s="92"/>
      <c r="D2" s="92"/>
      <c r="E2" s="92"/>
    </row>
    <row r="3" spans="2:5" ht="20.25" customHeight="1" thickBot="1" x14ac:dyDescent="0.25">
      <c r="D3" s="5" t="s">
        <v>66</v>
      </c>
      <c r="E3" s="6">
        <f>SUM(E6:E12)</f>
        <v>477</v>
      </c>
    </row>
    <row r="4" spans="2:5" ht="23.25" customHeight="1" x14ac:dyDescent="0.2">
      <c r="B4" s="1" t="s">
        <v>54</v>
      </c>
      <c r="C4" s="1" t="s">
        <v>55</v>
      </c>
      <c r="D4" s="1" t="s">
        <v>56</v>
      </c>
      <c r="E4" s="1" t="s">
        <v>57</v>
      </c>
    </row>
    <row r="5" spans="2:5" ht="27.75" customHeight="1" x14ac:dyDescent="0.2">
      <c r="B5" s="4">
        <v>1</v>
      </c>
      <c r="C5" s="59" t="s">
        <v>60</v>
      </c>
      <c r="D5" s="3" t="s">
        <v>61</v>
      </c>
      <c r="E5" s="3" t="s">
        <v>71</v>
      </c>
    </row>
    <row r="6" spans="2:5" ht="27.75" customHeight="1" x14ac:dyDescent="0.2">
      <c r="B6" s="4">
        <v>2</v>
      </c>
      <c r="C6" s="59" t="s">
        <v>67</v>
      </c>
      <c r="D6" s="3" t="s">
        <v>46</v>
      </c>
      <c r="E6" s="4">
        <v>80</v>
      </c>
    </row>
    <row r="7" spans="2:5" ht="27.75" customHeight="1" x14ac:dyDescent="0.2">
      <c r="B7" s="4">
        <v>3</v>
      </c>
      <c r="C7" s="59" t="s">
        <v>80</v>
      </c>
      <c r="D7" s="3" t="s">
        <v>46</v>
      </c>
      <c r="E7" s="4">
        <v>90</v>
      </c>
    </row>
    <row r="8" spans="2:5" ht="27.75" customHeight="1" x14ac:dyDescent="0.2">
      <c r="B8" s="4">
        <v>4</v>
      </c>
      <c r="C8" s="59" t="s">
        <v>58</v>
      </c>
      <c r="D8" s="3" t="s">
        <v>46</v>
      </c>
      <c r="E8" s="3">
        <v>90</v>
      </c>
    </row>
    <row r="9" spans="2:5" ht="27.75" customHeight="1" x14ac:dyDescent="0.2">
      <c r="B9" s="4">
        <v>5</v>
      </c>
      <c r="C9" s="60" t="s">
        <v>94</v>
      </c>
      <c r="D9" s="3" t="s">
        <v>46</v>
      </c>
      <c r="E9" s="3">
        <v>90</v>
      </c>
    </row>
    <row r="10" spans="2:5" ht="27.75" customHeight="1" x14ac:dyDescent="0.2">
      <c r="B10" s="4">
        <v>6</v>
      </c>
      <c r="C10" s="59" t="s">
        <v>70</v>
      </c>
      <c r="D10" s="3" t="s">
        <v>47</v>
      </c>
      <c r="E10" s="3">
        <v>90</v>
      </c>
    </row>
    <row r="11" spans="2:5" ht="27.75" customHeight="1" x14ac:dyDescent="0.2">
      <c r="B11" s="4">
        <v>7</v>
      </c>
      <c r="C11" s="59" t="s">
        <v>72</v>
      </c>
      <c r="D11" s="3" t="s">
        <v>59</v>
      </c>
      <c r="E11" s="4">
        <v>22</v>
      </c>
    </row>
    <row r="12" spans="2:5" ht="27.75" customHeight="1" x14ac:dyDescent="0.2">
      <c r="B12" s="4">
        <v>8</v>
      </c>
      <c r="C12" s="59" t="s">
        <v>68</v>
      </c>
      <c r="D12" s="3" t="s">
        <v>177</v>
      </c>
      <c r="E12" s="4">
        <v>15</v>
      </c>
    </row>
  </sheetData>
  <mergeCells count="1">
    <mergeCell ref="B2:E2"/>
  </mergeCells>
  <pageMargins left="0.4" right="0.24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R15"/>
  <sheetViews>
    <sheetView workbookViewId="0">
      <pane xSplit="5" ySplit="7" topLeftCell="F11" activePane="bottomRight" state="frozen"/>
      <selection pane="topRight" activeCell="F1" sqref="F1"/>
      <selection pane="bottomLeft" activeCell="A5" sqref="A5"/>
      <selection pane="bottomRight" activeCell="L9" sqref="L9"/>
    </sheetView>
  </sheetViews>
  <sheetFormatPr defaultRowHeight="14.25" x14ac:dyDescent="0.25"/>
  <cols>
    <col min="1" max="1" width="1.42578125" style="15" customWidth="1"/>
    <col min="2" max="2" width="19.7109375" style="15" bestFit="1" customWidth="1"/>
    <col min="3" max="3" width="11.140625" style="15" customWidth="1"/>
    <col min="4" max="4" width="10.140625" style="15" bestFit="1" customWidth="1"/>
    <col min="5" max="5" width="8.5703125" style="15" customWidth="1"/>
    <col min="6" max="70" width="2.7109375" style="15" customWidth="1"/>
    <col min="71" max="16384" width="9.140625" style="15"/>
  </cols>
  <sheetData>
    <row r="1" spans="2:70" ht="21" customHeight="1" x14ac:dyDescent="0.25"/>
    <row r="2" spans="2:70" ht="15.75" x14ac:dyDescent="0.25">
      <c r="BD2" s="94" t="s">
        <v>129</v>
      </c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Q2" s="94"/>
    </row>
    <row r="3" spans="2:70" x14ac:dyDescent="0.25">
      <c r="BD3" s="95" t="s">
        <v>130</v>
      </c>
      <c r="BE3" s="95"/>
      <c r="BF3" s="95"/>
      <c r="BG3" s="95"/>
      <c r="BH3" s="95"/>
      <c r="BI3" s="95"/>
      <c r="BJ3" s="95"/>
      <c r="BK3" s="96" t="s">
        <v>131</v>
      </c>
      <c r="BL3" s="96"/>
      <c r="BM3" s="96"/>
      <c r="BN3" s="96"/>
      <c r="BO3" s="96"/>
      <c r="BP3" s="96"/>
      <c r="BQ3" s="96"/>
    </row>
    <row r="4" spans="2:70" s="16" customFormat="1" ht="15.75" x14ac:dyDescent="0.25">
      <c r="B4" s="97" t="s">
        <v>98</v>
      </c>
      <c r="C4" s="97"/>
      <c r="D4" s="97"/>
      <c r="E4" s="97"/>
      <c r="BD4" s="94" t="s">
        <v>132</v>
      </c>
      <c r="BE4" s="94"/>
      <c r="BF4" s="94"/>
      <c r="BG4" s="94"/>
      <c r="BH4" s="94"/>
      <c r="BI4" s="94"/>
      <c r="BJ4" s="94"/>
      <c r="BK4" s="94"/>
      <c r="BL4" s="94"/>
      <c r="BM4" s="94"/>
      <c r="BN4" s="94"/>
      <c r="BO4" s="94"/>
      <c r="BP4" s="94"/>
      <c r="BQ4" s="94"/>
    </row>
    <row r="5" spans="2:70" s="16" customFormat="1" ht="15.75" x14ac:dyDescent="0.25">
      <c r="B5" s="29"/>
      <c r="C5" s="29"/>
      <c r="D5" s="29"/>
      <c r="E5" s="29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</row>
    <row r="6" spans="2:70" s="26" customFormat="1" ht="24.75" customHeight="1" x14ac:dyDescent="0.25">
      <c r="C6" s="27"/>
      <c r="D6" s="27"/>
      <c r="E6" s="28"/>
      <c r="F6" s="93" t="s">
        <v>123</v>
      </c>
      <c r="G6" s="93"/>
      <c r="H6" s="93"/>
      <c r="I6" s="93"/>
      <c r="J6" s="93" t="s">
        <v>119</v>
      </c>
      <c r="K6" s="93"/>
      <c r="L6" s="93"/>
      <c r="M6" s="93"/>
      <c r="N6" s="93" t="s">
        <v>108</v>
      </c>
      <c r="O6" s="93"/>
      <c r="P6" s="93"/>
      <c r="Q6" s="93"/>
      <c r="R6" s="93" t="s">
        <v>109</v>
      </c>
      <c r="S6" s="93"/>
      <c r="T6" s="93"/>
      <c r="U6" s="93"/>
      <c r="V6" s="93" t="s">
        <v>110</v>
      </c>
      <c r="W6" s="93"/>
      <c r="X6" s="93"/>
      <c r="Y6" s="93"/>
      <c r="Z6" s="93" t="s">
        <v>111</v>
      </c>
      <c r="AA6" s="93"/>
      <c r="AB6" s="93"/>
      <c r="AC6" s="93"/>
      <c r="AD6" s="93" t="s">
        <v>112</v>
      </c>
      <c r="AE6" s="93"/>
      <c r="AF6" s="93"/>
      <c r="AG6" s="93"/>
      <c r="AH6" s="93" t="s">
        <v>113</v>
      </c>
      <c r="AI6" s="93"/>
      <c r="AJ6" s="93"/>
      <c r="AK6" s="93"/>
      <c r="AL6" s="93" t="s">
        <v>114</v>
      </c>
      <c r="AM6" s="93"/>
      <c r="AN6" s="93"/>
      <c r="AO6" s="93"/>
      <c r="AP6" s="93" t="s">
        <v>115</v>
      </c>
      <c r="AQ6" s="93"/>
      <c r="AR6" s="93"/>
      <c r="AS6" s="93"/>
      <c r="AT6" s="93" t="s">
        <v>116</v>
      </c>
      <c r="AU6" s="93"/>
      <c r="AV6" s="93"/>
      <c r="AW6" s="93"/>
      <c r="AX6" s="93" t="s">
        <v>117</v>
      </c>
      <c r="AY6" s="93"/>
      <c r="AZ6" s="93"/>
      <c r="BA6" s="93"/>
      <c r="BB6" s="93" t="s">
        <v>118</v>
      </c>
      <c r="BC6" s="93"/>
      <c r="BD6" s="93"/>
      <c r="BE6" s="93"/>
      <c r="BF6" s="93" t="s">
        <v>120</v>
      </c>
      <c r="BG6" s="93"/>
      <c r="BH6" s="93"/>
      <c r="BI6" s="93"/>
      <c r="BJ6" s="93" t="s">
        <v>121</v>
      </c>
      <c r="BK6" s="93"/>
      <c r="BL6" s="93"/>
      <c r="BM6" s="93"/>
      <c r="BN6" s="93" t="s">
        <v>122</v>
      </c>
      <c r="BO6" s="93"/>
      <c r="BP6" s="93"/>
      <c r="BQ6" s="93"/>
    </row>
    <row r="7" spans="2:70" ht="33.75" customHeight="1" x14ac:dyDescent="0.25">
      <c r="B7" s="25" t="s">
        <v>55</v>
      </c>
      <c r="C7" s="25" t="s">
        <v>56</v>
      </c>
      <c r="D7" s="25" t="s">
        <v>99</v>
      </c>
      <c r="E7" s="25" t="s">
        <v>57</v>
      </c>
      <c r="F7" s="17" t="s">
        <v>101</v>
      </c>
      <c r="G7" s="17" t="s">
        <v>102</v>
      </c>
      <c r="H7" s="17" t="s">
        <v>103</v>
      </c>
      <c r="I7" s="17" t="s">
        <v>104</v>
      </c>
      <c r="J7" s="17" t="s">
        <v>101</v>
      </c>
      <c r="K7" s="17" t="s">
        <v>102</v>
      </c>
      <c r="L7" s="17" t="s">
        <v>103</v>
      </c>
      <c r="M7" s="17" t="s">
        <v>104</v>
      </c>
      <c r="N7" s="17" t="s">
        <v>101</v>
      </c>
      <c r="O7" s="17" t="s">
        <v>102</v>
      </c>
      <c r="P7" s="17" t="s">
        <v>103</v>
      </c>
      <c r="Q7" s="17" t="s">
        <v>104</v>
      </c>
      <c r="R7" s="17" t="s">
        <v>101</v>
      </c>
      <c r="S7" s="17" t="s">
        <v>102</v>
      </c>
      <c r="T7" s="17" t="s">
        <v>103</v>
      </c>
      <c r="U7" s="17" t="s">
        <v>104</v>
      </c>
      <c r="V7" s="17" t="s">
        <v>101</v>
      </c>
      <c r="W7" s="17" t="s">
        <v>102</v>
      </c>
      <c r="X7" s="17" t="s">
        <v>103</v>
      </c>
      <c r="Y7" s="17" t="s">
        <v>104</v>
      </c>
      <c r="Z7" s="17" t="s">
        <v>101</v>
      </c>
      <c r="AA7" s="17" t="s">
        <v>102</v>
      </c>
      <c r="AB7" s="17" t="s">
        <v>103</v>
      </c>
      <c r="AC7" s="17" t="s">
        <v>104</v>
      </c>
      <c r="AD7" s="17" t="s">
        <v>101</v>
      </c>
      <c r="AE7" s="17" t="s">
        <v>102</v>
      </c>
      <c r="AF7" s="17" t="s">
        <v>103</v>
      </c>
      <c r="AG7" s="17" t="s">
        <v>104</v>
      </c>
      <c r="AH7" s="17" t="s">
        <v>101</v>
      </c>
      <c r="AI7" s="17" t="s">
        <v>102</v>
      </c>
      <c r="AJ7" s="17" t="s">
        <v>103</v>
      </c>
      <c r="AK7" s="17" t="s">
        <v>104</v>
      </c>
      <c r="AL7" s="17" t="s">
        <v>101</v>
      </c>
      <c r="AM7" s="17" t="s">
        <v>102</v>
      </c>
      <c r="AN7" s="17" t="s">
        <v>103</v>
      </c>
      <c r="AO7" s="17" t="s">
        <v>104</v>
      </c>
      <c r="AP7" s="17" t="s">
        <v>101</v>
      </c>
      <c r="AQ7" s="17" t="s">
        <v>102</v>
      </c>
      <c r="AR7" s="17" t="s">
        <v>103</v>
      </c>
      <c r="AS7" s="17" t="s">
        <v>104</v>
      </c>
      <c r="AT7" s="17" t="s">
        <v>101</v>
      </c>
      <c r="AU7" s="17" t="s">
        <v>102</v>
      </c>
      <c r="AV7" s="17" t="s">
        <v>103</v>
      </c>
      <c r="AW7" s="17" t="s">
        <v>104</v>
      </c>
      <c r="AX7" s="17" t="s">
        <v>101</v>
      </c>
      <c r="AY7" s="17" t="s">
        <v>102</v>
      </c>
      <c r="AZ7" s="17" t="s">
        <v>103</v>
      </c>
      <c r="BA7" s="17" t="s">
        <v>104</v>
      </c>
      <c r="BB7" s="17" t="s">
        <v>101</v>
      </c>
      <c r="BC7" s="17" t="s">
        <v>102</v>
      </c>
      <c r="BD7" s="17" t="s">
        <v>103</v>
      </c>
      <c r="BE7" s="17" t="s">
        <v>104</v>
      </c>
      <c r="BF7" s="17" t="s">
        <v>101</v>
      </c>
      <c r="BG7" s="17" t="s">
        <v>102</v>
      </c>
      <c r="BH7" s="17" t="s">
        <v>103</v>
      </c>
      <c r="BI7" s="17" t="s">
        <v>104</v>
      </c>
      <c r="BJ7" s="17" t="s">
        <v>101</v>
      </c>
      <c r="BK7" s="17" t="s">
        <v>102</v>
      </c>
      <c r="BL7" s="17" t="s">
        <v>103</v>
      </c>
      <c r="BM7" s="17" t="s">
        <v>104</v>
      </c>
      <c r="BN7" s="17" t="s">
        <v>101</v>
      </c>
      <c r="BO7" s="17" t="s">
        <v>102</v>
      </c>
      <c r="BP7" s="17" t="s">
        <v>103</v>
      </c>
      <c r="BQ7" s="17" t="s">
        <v>104</v>
      </c>
    </row>
    <row r="8" spans="2:70" ht="33.75" customHeight="1" x14ac:dyDescent="0.25">
      <c r="B8" s="61" t="s">
        <v>60</v>
      </c>
      <c r="C8" s="18" t="s">
        <v>61</v>
      </c>
      <c r="D8" s="18" t="s">
        <v>100</v>
      </c>
      <c r="E8" s="18" t="s">
        <v>105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</row>
    <row r="9" spans="2:70" ht="33.75" customHeight="1" x14ac:dyDescent="0.25">
      <c r="B9" s="61" t="s">
        <v>67</v>
      </c>
      <c r="C9" s="18" t="s">
        <v>46</v>
      </c>
      <c r="D9" s="18" t="s">
        <v>106</v>
      </c>
      <c r="E9" s="19">
        <v>80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0"/>
    </row>
    <row r="10" spans="2:70" ht="33.75" customHeight="1" x14ac:dyDescent="0.25">
      <c r="B10" s="61" t="s">
        <v>80</v>
      </c>
      <c r="C10" s="18" t="s">
        <v>46</v>
      </c>
      <c r="D10" s="18" t="s">
        <v>107</v>
      </c>
      <c r="E10" s="19">
        <v>90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0"/>
    </row>
    <row r="11" spans="2:70" ht="33.75" customHeight="1" x14ac:dyDescent="0.25">
      <c r="B11" s="61" t="s">
        <v>58</v>
      </c>
      <c r="C11" s="18" t="s">
        <v>46</v>
      </c>
      <c r="D11" s="18" t="s">
        <v>124</v>
      </c>
      <c r="E11" s="18">
        <v>90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4"/>
      <c r="AD11" s="24"/>
      <c r="AE11" s="24"/>
      <c r="AF11" s="22"/>
      <c r="AG11" s="22"/>
      <c r="AH11" s="22"/>
      <c r="AI11" s="22"/>
      <c r="AJ11" s="22"/>
      <c r="AK11" s="22"/>
      <c r="AL11" s="22"/>
      <c r="AM11" s="22"/>
      <c r="AN11" s="22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0"/>
    </row>
    <row r="12" spans="2:70" ht="33.75" customHeight="1" x14ac:dyDescent="0.25">
      <c r="B12" s="62" t="s">
        <v>94</v>
      </c>
      <c r="C12" s="18" t="s">
        <v>46</v>
      </c>
      <c r="D12" s="18" t="s">
        <v>125</v>
      </c>
      <c r="E12" s="18">
        <v>90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4"/>
      <c r="AD12" s="24"/>
      <c r="AE12" s="24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1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0"/>
    </row>
    <row r="13" spans="2:70" ht="33.75" customHeight="1" x14ac:dyDescent="0.25">
      <c r="B13" s="61" t="s">
        <v>70</v>
      </c>
      <c r="C13" s="18" t="s">
        <v>47</v>
      </c>
      <c r="D13" s="18" t="s">
        <v>126</v>
      </c>
      <c r="E13" s="18">
        <v>90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1"/>
      <c r="BN13" s="21"/>
      <c r="BO13" s="21"/>
      <c r="BP13" s="21"/>
      <c r="BQ13" s="21"/>
    </row>
    <row r="14" spans="2:70" ht="33.75" customHeight="1" x14ac:dyDescent="0.25">
      <c r="B14" s="61" t="s">
        <v>72</v>
      </c>
      <c r="C14" s="18" t="s">
        <v>59</v>
      </c>
      <c r="D14" s="18" t="s">
        <v>127</v>
      </c>
      <c r="E14" s="19">
        <v>22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2"/>
      <c r="BN14" s="22"/>
      <c r="BO14" s="22"/>
      <c r="BP14" s="21"/>
      <c r="BQ14" s="21"/>
    </row>
    <row r="15" spans="2:70" ht="33.75" customHeight="1" x14ac:dyDescent="0.25">
      <c r="B15" s="61" t="s">
        <v>68</v>
      </c>
      <c r="C15" s="18" t="s">
        <v>69</v>
      </c>
      <c r="D15" s="18" t="s">
        <v>128</v>
      </c>
      <c r="E15" s="19">
        <v>15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2"/>
      <c r="BQ15" s="22"/>
    </row>
  </sheetData>
  <mergeCells count="22">
    <mergeCell ref="BD2:BQ2"/>
    <mergeCell ref="BD3:BJ3"/>
    <mergeCell ref="BK3:BQ3"/>
    <mergeCell ref="BD4:BJ4"/>
    <mergeCell ref="B4:E4"/>
    <mergeCell ref="BB6:BE6"/>
    <mergeCell ref="BF6:BI6"/>
    <mergeCell ref="BJ6:BM6"/>
    <mergeCell ref="BN6:BQ6"/>
    <mergeCell ref="BK4:BQ4"/>
    <mergeCell ref="AX6:BA6"/>
    <mergeCell ref="F6:I6"/>
    <mergeCell ref="J6:M6"/>
    <mergeCell ref="N6:Q6"/>
    <mergeCell ref="R6:U6"/>
    <mergeCell ref="V6:Y6"/>
    <mergeCell ref="Z6:AC6"/>
    <mergeCell ref="AD6:AG6"/>
    <mergeCell ref="AH6:AK6"/>
    <mergeCell ref="AL6:AO6"/>
    <mergeCell ref="AP6:AS6"/>
    <mergeCell ref="AT6:AW6"/>
  </mergeCells>
  <pageMargins left="0.17" right="0.17" top="0.75" bottom="0.75" header="0.3" footer="0.3"/>
  <pageSetup paperSize="9" scale="6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56"/>
  <sheetViews>
    <sheetView tabSelected="1" zoomScale="90" zoomScaleNormal="90" workbookViewId="0">
      <pane xSplit="1" ySplit="3" topLeftCell="B40" activePane="bottomRight" state="frozen"/>
      <selection pane="topRight" activeCell="B1" sqref="B1"/>
      <selection pane="bottomLeft" activeCell="A3" sqref="A3"/>
      <selection pane="bottomRight" activeCell="M40" sqref="M40"/>
    </sheetView>
  </sheetViews>
  <sheetFormatPr defaultRowHeight="12.75" x14ac:dyDescent="0.25"/>
  <cols>
    <col min="1" max="1" width="2.7109375" style="13" customWidth="1"/>
    <col min="2" max="2" width="4.5703125" style="13" customWidth="1"/>
    <col min="3" max="3" width="34.85546875" style="77" customWidth="1"/>
    <col min="4" max="4" width="13.28515625" style="13" bestFit="1" customWidth="1"/>
    <col min="5" max="5" width="12.42578125" style="13" bestFit="1" customWidth="1"/>
    <col min="6" max="6" width="9" style="13" customWidth="1"/>
    <col min="7" max="7" width="19.85546875" style="13" customWidth="1"/>
    <col min="8" max="8" width="6.28515625" style="13" customWidth="1"/>
    <col min="9" max="16384" width="9.140625" style="13"/>
  </cols>
  <sheetData>
    <row r="1" spans="2:8" ht="8.25" customHeight="1" x14ac:dyDescent="0.25"/>
    <row r="2" spans="2:8" x14ac:dyDescent="0.25">
      <c r="H2" s="13">
        <f>SUM(H4:H56)</f>
        <v>477</v>
      </c>
    </row>
    <row r="3" spans="2:8" ht="25.5" x14ac:dyDescent="0.25">
      <c r="B3" s="14" t="s">
        <v>54</v>
      </c>
      <c r="C3" s="10" t="s">
        <v>77</v>
      </c>
      <c r="D3" s="14" t="s">
        <v>78</v>
      </c>
      <c r="E3" s="14" t="s">
        <v>79</v>
      </c>
      <c r="F3" s="14" t="s">
        <v>85</v>
      </c>
      <c r="G3" s="14" t="s">
        <v>84</v>
      </c>
      <c r="H3" s="14" t="s">
        <v>76</v>
      </c>
    </row>
    <row r="4" spans="2:8" ht="25.5" x14ac:dyDescent="0.25">
      <c r="B4" s="78">
        <v>1</v>
      </c>
      <c r="C4" s="9" t="s">
        <v>0</v>
      </c>
      <c r="D4" s="78" t="s">
        <v>1</v>
      </c>
      <c r="E4" s="78"/>
      <c r="F4" s="78"/>
      <c r="G4" s="78"/>
      <c r="H4" s="78"/>
    </row>
    <row r="5" spans="2:8" x14ac:dyDescent="0.25">
      <c r="B5" s="78">
        <v>2</v>
      </c>
      <c r="C5" s="9" t="s">
        <v>2</v>
      </c>
      <c r="D5" s="78" t="s">
        <v>11</v>
      </c>
      <c r="E5" s="78" t="s">
        <v>44</v>
      </c>
      <c r="F5" s="78"/>
      <c r="G5" s="78"/>
      <c r="H5" s="78"/>
    </row>
    <row r="6" spans="2:8" x14ac:dyDescent="0.25">
      <c r="B6" s="78">
        <v>3</v>
      </c>
      <c r="C6" s="9" t="s">
        <v>155</v>
      </c>
      <c r="D6" s="78" t="s">
        <v>156</v>
      </c>
      <c r="E6" s="78"/>
      <c r="F6" s="78"/>
      <c r="G6" s="78"/>
      <c r="H6" s="78"/>
    </row>
    <row r="7" spans="2:8" x14ac:dyDescent="0.25">
      <c r="B7" s="78">
        <v>4</v>
      </c>
      <c r="C7" s="9" t="s">
        <v>3</v>
      </c>
      <c r="D7" s="78" t="s">
        <v>12</v>
      </c>
      <c r="E7" s="78" t="s">
        <v>44</v>
      </c>
      <c r="F7" s="78"/>
      <c r="G7" s="78"/>
      <c r="H7" s="78"/>
    </row>
    <row r="8" spans="2:8" x14ac:dyDescent="0.25">
      <c r="B8" s="78">
        <v>5</v>
      </c>
      <c r="C8" s="9" t="s">
        <v>4</v>
      </c>
      <c r="D8" s="78" t="s">
        <v>13</v>
      </c>
      <c r="E8" s="78" t="s">
        <v>44</v>
      </c>
      <c r="F8" s="78"/>
      <c r="G8" s="78"/>
      <c r="H8" s="78"/>
    </row>
    <row r="9" spans="2:8" x14ac:dyDescent="0.25">
      <c r="B9" s="78">
        <v>6</v>
      </c>
      <c r="C9" s="9" t="s">
        <v>6</v>
      </c>
      <c r="D9" s="78" t="s">
        <v>14</v>
      </c>
      <c r="E9" s="78" t="s">
        <v>44</v>
      </c>
      <c r="F9" s="78"/>
      <c r="G9" s="78"/>
      <c r="H9" s="78"/>
    </row>
    <row r="10" spans="2:8" x14ac:dyDescent="0.25">
      <c r="B10" s="78">
        <v>7</v>
      </c>
      <c r="C10" s="9" t="s">
        <v>5</v>
      </c>
      <c r="D10" s="78" t="s">
        <v>15</v>
      </c>
      <c r="E10" s="78" t="s">
        <v>44</v>
      </c>
      <c r="F10" s="78"/>
      <c r="G10" s="78"/>
      <c r="H10" s="78"/>
    </row>
    <row r="11" spans="2:8" x14ac:dyDescent="0.25">
      <c r="B11" s="78">
        <v>8</v>
      </c>
      <c r="C11" s="9" t="s">
        <v>41</v>
      </c>
      <c r="D11" s="78"/>
      <c r="E11" s="78" t="s">
        <v>44</v>
      </c>
      <c r="F11" s="78"/>
      <c r="G11" s="78"/>
      <c r="H11" s="78"/>
    </row>
    <row r="12" spans="2:8" x14ac:dyDescent="0.25">
      <c r="B12" s="78">
        <v>9</v>
      </c>
      <c r="C12" s="9" t="s">
        <v>42</v>
      </c>
      <c r="D12" s="78"/>
      <c r="E12" s="78" t="s">
        <v>44</v>
      </c>
      <c r="F12" s="78"/>
      <c r="G12" s="78"/>
      <c r="H12" s="78"/>
    </row>
    <row r="13" spans="2:8" x14ac:dyDescent="0.25">
      <c r="B13" s="78">
        <v>10</v>
      </c>
      <c r="C13" s="9" t="s">
        <v>73</v>
      </c>
      <c r="D13" s="78" t="s">
        <v>75</v>
      </c>
      <c r="E13" s="78" t="s">
        <v>44</v>
      </c>
      <c r="F13" s="78"/>
      <c r="G13" s="78"/>
      <c r="H13" s="78"/>
    </row>
    <row r="14" spans="2:8" x14ac:dyDescent="0.25">
      <c r="B14" s="78">
        <v>11</v>
      </c>
      <c r="C14" s="9" t="s">
        <v>169</v>
      </c>
      <c r="D14" s="78" t="s">
        <v>172</v>
      </c>
      <c r="E14" s="78" t="s">
        <v>44</v>
      </c>
      <c r="F14" s="78"/>
      <c r="G14" s="78"/>
      <c r="H14" s="78"/>
    </row>
    <row r="15" spans="2:8" ht="25.5" x14ac:dyDescent="0.25">
      <c r="B15" s="78">
        <v>12</v>
      </c>
      <c r="C15" s="9" t="s">
        <v>170</v>
      </c>
      <c r="D15" s="78" t="s">
        <v>171</v>
      </c>
      <c r="E15" s="78" t="s">
        <v>44</v>
      </c>
      <c r="F15" s="78"/>
      <c r="G15" s="78"/>
      <c r="H15" s="78"/>
    </row>
    <row r="16" spans="2:8" x14ac:dyDescent="0.25">
      <c r="B16" s="78">
        <v>13</v>
      </c>
      <c r="C16" s="9" t="s">
        <v>173</v>
      </c>
      <c r="D16" s="58" t="s">
        <v>16</v>
      </c>
      <c r="E16" s="78" t="s">
        <v>44</v>
      </c>
      <c r="F16" s="78"/>
      <c r="G16" s="78"/>
      <c r="H16" s="78"/>
    </row>
    <row r="17" spans="2:8" x14ac:dyDescent="0.25">
      <c r="B17" s="78">
        <v>14</v>
      </c>
      <c r="C17" s="9" t="s">
        <v>8</v>
      </c>
      <c r="D17" s="58" t="s">
        <v>17</v>
      </c>
      <c r="E17" s="78" t="s">
        <v>44</v>
      </c>
      <c r="F17" s="78"/>
      <c r="G17" s="78"/>
      <c r="H17" s="78"/>
    </row>
    <row r="18" spans="2:8" x14ac:dyDescent="0.25">
      <c r="B18" s="78">
        <v>15</v>
      </c>
      <c r="C18" s="79" t="s">
        <v>174</v>
      </c>
      <c r="D18" s="58" t="s">
        <v>74</v>
      </c>
      <c r="E18" s="78" t="s">
        <v>44</v>
      </c>
      <c r="F18" s="78"/>
      <c r="G18" s="78"/>
      <c r="H18" s="78"/>
    </row>
    <row r="19" spans="2:8" x14ac:dyDescent="0.25">
      <c r="B19" s="78">
        <v>16</v>
      </c>
      <c r="C19" s="9" t="s">
        <v>7</v>
      </c>
      <c r="D19" s="80">
        <v>34</v>
      </c>
      <c r="E19" s="78" t="s">
        <v>45</v>
      </c>
      <c r="F19" s="78"/>
      <c r="G19" s="78"/>
      <c r="H19" s="78"/>
    </row>
    <row r="20" spans="2:8" x14ac:dyDescent="0.25">
      <c r="B20" s="78">
        <v>17</v>
      </c>
      <c r="C20" s="9" t="s">
        <v>175</v>
      </c>
      <c r="D20" s="7" t="s">
        <v>21</v>
      </c>
      <c r="E20" s="78" t="s">
        <v>177</v>
      </c>
      <c r="F20" s="78" t="s">
        <v>142</v>
      </c>
      <c r="G20" s="81" t="s">
        <v>133</v>
      </c>
      <c r="H20" s="98">
        <v>80</v>
      </c>
    </row>
    <row r="21" spans="2:8" x14ac:dyDescent="0.25">
      <c r="B21" s="78">
        <v>18</v>
      </c>
      <c r="C21" s="9" t="s">
        <v>176</v>
      </c>
      <c r="D21" s="58" t="s">
        <v>22</v>
      </c>
      <c r="E21" s="78" t="s">
        <v>177</v>
      </c>
      <c r="F21" s="78" t="s">
        <v>142</v>
      </c>
      <c r="G21" s="81" t="s">
        <v>192</v>
      </c>
      <c r="H21" s="98"/>
    </row>
    <row r="22" spans="2:8" x14ac:dyDescent="0.25">
      <c r="B22" s="78">
        <v>19</v>
      </c>
      <c r="C22" s="9" t="s">
        <v>178</v>
      </c>
      <c r="D22" s="7" t="s">
        <v>21</v>
      </c>
      <c r="E22" s="78" t="s">
        <v>46</v>
      </c>
      <c r="F22" s="78" t="s">
        <v>142</v>
      </c>
      <c r="G22" s="81" t="s">
        <v>178</v>
      </c>
      <c r="H22" s="98"/>
    </row>
    <row r="23" spans="2:8" x14ac:dyDescent="0.25">
      <c r="B23" s="78">
        <v>20</v>
      </c>
      <c r="C23" s="9" t="s">
        <v>134</v>
      </c>
      <c r="D23" s="80" t="s">
        <v>39</v>
      </c>
      <c r="E23" s="78" t="s">
        <v>46</v>
      </c>
      <c r="F23" s="78" t="s">
        <v>143</v>
      </c>
      <c r="G23" s="58" t="s">
        <v>144</v>
      </c>
      <c r="H23" s="98"/>
    </row>
    <row r="24" spans="2:8" x14ac:dyDescent="0.25">
      <c r="B24" s="78">
        <v>21</v>
      </c>
      <c r="C24" s="79" t="s">
        <v>9</v>
      </c>
      <c r="D24" s="78" t="s">
        <v>18</v>
      </c>
      <c r="E24" s="78" t="s">
        <v>46</v>
      </c>
      <c r="F24" s="78" t="s">
        <v>143</v>
      </c>
      <c r="G24" s="58" t="s">
        <v>145</v>
      </c>
      <c r="H24" s="98"/>
    </row>
    <row r="25" spans="2:8" ht="25.5" x14ac:dyDescent="0.25">
      <c r="B25" s="78">
        <v>22</v>
      </c>
      <c r="C25" s="79" t="s">
        <v>80</v>
      </c>
      <c r="D25" s="82" t="s">
        <v>19</v>
      </c>
      <c r="E25" s="78" t="s">
        <v>46</v>
      </c>
      <c r="F25" s="78" t="s">
        <v>142</v>
      </c>
      <c r="G25" s="81" t="s">
        <v>96</v>
      </c>
      <c r="H25" s="78">
        <v>90</v>
      </c>
    </row>
    <row r="26" spans="2:8" x14ac:dyDescent="0.25">
      <c r="B26" s="78">
        <v>23</v>
      </c>
      <c r="C26" s="79" t="s">
        <v>81</v>
      </c>
      <c r="D26" s="82"/>
      <c r="E26" s="78" t="s">
        <v>46</v>
      </c>
      <c r="F26" s="78" t="s">
        <v>142</v>
      </c>
      <c r="G26" s="81" t="s">
        <v>93</v>
      </c>
      <c r="H26" s="78">
        <v>90</v>
      </c>
    </row>
    <row r="27" spans="2:8" x14ac:dyDescent="0.25">
      <c r="B27" s="78">
        <v>24</v>
      </c>
      <c r="C27" s="9" t="s">
        <v>135</v>
      </c>
      <c r="D27" s="82" t="s">
        <v>20</v>
      </c>
      <c r="E27" s="78" t="s">
        <v>46</v>
      </c>
      <c r="F27" s="78" t="s">
        <v>142</v>
      </c>
      <c r="G27" s="58" t="s">
        <v>195</v>
      </c>
      <c r="H27" s="98">
        <v>90</v>
      </c>
    </row>
    <row r="28" spans="2:8" ht="25.5" x14ac:dyDescent="0.25">
      <c r="B28" s="78">
        <v>25</v>
      </c>
      <c r="C28" s="9" t="s">
        <v>23</v>
      </c>
      <c r="D28" s="78">
        <v>175</v>
      </c>
      <c r="E28" s="78" t="s">
        <v>45</v>
      </c>
      <c r="F28" s="78"/>
      <c r="G28" s="78"/>
      <c r="H28" s="98"/>
    </row>
    <row r="29" spans="2:8" x14ac:dyDescent="0.25">
      <c r="B29" s="78">
        <v>26</v>
      </c>
      <c r="C29" s="9" t="s">
        <v>179</v>
      </c>
      <c r="D29" s="58" t="s">
        <v>24</v>
      </c>
      <c r="E29" s="78" t="s">
        <v>47</v>
      </c>
      <c r="F29" s="78" t="s">
        <v>142</v>
      </c>
      <c r="G29" s="81" t="s">
        <v>179</v>
      </c>
      <c r="H29" s="98"/>
    </row>
    <row r="30" spans="2:8" x14ac:dyDescent="0.25">
      <c r="B30" s="78">
        <v>27</v>
      </c>
      <c r="C30" s="9" t="s">
        <v>180</v>
      </c>
      <c r="D30" s="58" t="s">
        <v>38</v>
      </c>
      <c r="E30" s="78" t="s">
        <v>46</v>
      </c>
      <c r="F30" s="78" t="s">
        <v>142</v>
      </c>
      <c r="G30" s="58" t="s">
        <v>193</v>
      </c>
      <c r="H30" s="98"/>
    </row>
    <row r="31" spans="2:8" x14ac:dyDescent="0.25">
      <c r="B31" s="78">
        <v>28</v>
      </c>
      <c r="C31" s="9" t="s">
        <v>181</v>
      </c>
      <c r="D31" s="58" t="s">
        <v>25</v>
      </c>
      <c r="E31" s="78" t="s">
        <v>46</v>
      </c>
      <c r="F31" s="78" t="s">
        <v>142</v>
      </c>
      <c r="G31" s="81" t="s">
        <v>148</v>
      </c>
      <c r="H31" s="98"/>
    </row>
    <row r="32" spans="2:8" ht="25.5" x14ac:dyDescent="0.25">
      <c r="B32" s="78">
        <v>29</v>
      </c>
      <c r="C32" s="9" t="s">
        <v>136</v>
      </c>
      <c r="D32" s="58" t="s">
        <v>38</v>
      </c>
      <c r="E32" s="78" t="s">
        <v>48</v>
      </c>
      <c r="F32" s="78" t="s">
        <v>143</v>
      </c>
      <c r="G32" s="58" t="s">
        <v>196</v>
      </c>
      <c r="H32" s="98"/>
    </row>
    <row r="33" spans="2:8" ht="25.5" x14ac:dyDescent="0.25">
      <c r="B33" s="78">
        <v>30</v>
      </c>
      <c r="C33" s="9" t="s">
        <v>40</v>
      </c>
      <c r="D33" s="7" t="s">
        <v>39</v>
      </c>
      <c r="E33" s="78" t="s">
        <v>46</v>
      </c>
      <c r="F33" s="78" t="s">
        <v>142</v>
      </c>
      <c r="G33" s="58" t="s">
        <v>86</v>
      </c>
      <c r="H33" s="98"/>
    </row>
    <row r="34" spans="2:8" x14ac:dyDescent="0.25">
      <c r="B34" s="78">
        <v>31</v>
      </c>
      <c r="C34" s="9" t="s">
        <v>137</v>
      </c>
      <c r="D34" s="58" t="s">
        <v>38</v>
      </c>
      <c r="E34" s="78" t="s">
        <v>47</v>
      </c>
      <c r="F34" s="78" t="s">
        <v>142</v>
      </c>
      <c r="G34" s="58" t="s">
        <v>137</v>
      </c>
      <c r="H34" s="98"/>
    </row>
    <row r="35" spans="2:8" ht="45" customHeight="1" x14ac:dyDescent="0.25">
      <c r="B35" s="78">
        <v>32</v>
      </c>
      <c r="C35" s="9" t="s">
        <v>138</v>
      </c>
      <c r="D35" s="7" t="s">
        <v>26</v>
      </c>
      <c r="E35" s="78" t="s">
        <v>177</v>
      </c>
      <c r="F35" s="78" t="s">
        <v>142</v>
      </c>
      <c r="G35" s="81" t="s">
        <v>97</v>
      </c>
      <c r="H35" s="98"/>
    </row>
    <row r="36" spans="2:8" ht="25.5" x14ac:dyDescent="0.25">
      <c r="B36" s="78">
        <v>33</v>
      </c>
      <c r="C36" s="9" t="s">
        <v>62</v>
      </c>
      <c r="D36" s="7" t="s">
        <v>27</v>
      </c>
      <c r="E36" s="78" t="s">
        <v>45</v>
      </c>
      <c r="F36" s="78"/>
      <c r="G36" s="78"/>
      <c r="H36" s="98"/>
    </row>
    <row r="37" spans="2:8" x14ac:dyDescent="0.25">
      <c r="B37" s="78">
        <v>34</v>
      </c>
      <c r="C37" s="9" t="s">
        <v>139</v>
      </c>
      <c r="D37" s="8" t="s">
        <v>28</v>
      </c>
      <c r="E37" s="78" t="s">
        <v>177</v>
      </c>
      <c r="F37" s="78" t="s">
        <v>142</v>
      </c>
      <c r="G37" s="81" t="s">
        <v>87</v>
      </c>
      <c r="H37" s="98"/>
    </row>
    <row r="38" spans="2:8" x14ac:dyDescent="0.25">
      <c r="B38" s="78">
        <v>35</v>
      </c>
      <c r="C38" s="79" t="s">
        <v>94</v>
      </c>
      <c r="D38" s="7"/>
      <c r="E38" s="78" t="s">
        <v>46</v>
      </c>
      <c r="F38" s="78" t="s">
        <v>142</v>
      </c>
      <c r="G38" s="81" t="s">
        <v>95</v>
      </c>
      <c r="H38" s="98"/>
    </row>
    <row r="39" spans="2:8" x14ac:dyDescent="0.25">
      <c r="B39" s="78">
        <v>36</v>
      </c>
      <c r="C39" s="9" t="s">
        <v>140</v>
      </c>
      <c r="D39" s="7" t="s">
        <v>39</v>
      </c>
      <c r="E39" s="78" t="s">
        <v>46</v>
      </c>
      <c r="F39" s="78" t="s">
        <v>142</v>
      </c>
      <c r="G39" s="58" t="s">
        <v>88</v>
      </c>
      <c r="H39" s="98">
        <v>90</v>
      </c>
    </row>
    <row r="40" spans="2:8" ht="25.5" x14ac:dyDescent="0.25">
      <c r="B40" s="78">
        <v>37</v>
      </c>
      <c r="C40" s="9" t="s">
        <v>65</v>
      </c>
      <c r="D40" s="58" t="s">
        <v>38</v>
      </c>
      <c r="E40" s="78" t="s">
        <v>46</v>
      </c>
      <c r="F40" s="78" t="s">
        <v>143</v>
      </c>
      <c r="G40" s="58" t="s">
        <v>197</v>
      </c>
      <c r="H40" s="98"/>
    </row>
    <row r="41" spans="2:8" x14ac:dyDescent="0.25">
      <c r="B41" s="78">
        <v>38</v>
      </c>
      <c r="C41" s="9" t="s">
        <v>182</v>
      </c>
      <c r="D41" s="7" t="s">
        <v>35</v>
      </c>
      <c r="E41" s="78" t="s">
        <v>47</v>
      </c>
      <c r="F41" s="78" t="s">
        <v>142</v>
      </c>
      <c r="G41" s="81" t="s">
        <v>194</v>
      </c>
      <c r="H41" s="98"/>
    </row>
    <row r="42" spans="2:8" x14ac:dyDescent="0.25">
      <c r="B42" s="78">
        <v>39</v>
      </c>
      <c r="C42" s="9" t="s">
        <v>183</v>
      </c>
      <c r="D42" s="8" t="s">
        <v>29</v>
      </c>
      <c r="E42" s="78" t="s">
        <v>47</v>
      </c>
      <c r="F42" s="78" t="s">
        <v>142</v>
      </c>
      <c r="G42" s="81" t="s">
        <v>183</v>
      </c>
      <c r="H42" s="98"/>
    </row>
    <row r="43" spans="2:8" x14ac:dyDescent="0.25">
      <c r="B43" s="78">
        <v>40</v>
      </c>
      <c r="C43" s="9" t="s">
        <v>184</v>
      </c>
      <c r="D43" s="8"/>
      <c r="E43" s="78" t="s">
        <v>47</v>
      </c>
      <c r="F43" s="78" t="s">
        <v>142</v>
      </c>
      <c r="G43" s="81" t="s">
        <v>184</v>
      </c>
      <c r="H43" s="98"/>
    </row>
    <row r="44" spans="2:8" x14ac:dyDescent="0.25">
      <c r="B44" s="78">
        <v>41</v>
      </c>
      <c r="C44" s="9" t="s">
        <v>141</v>
      </c>
      <c r="D44" s="58" t="s">
        <v>30</v>
      </c>
      <c r="E44" s="78" t="s">
        <v>50</v>
      </c>
      <c r="F44" s="78" t="s">
        <v>142</v>
      </c>
      <c r="G44" s="78" t="s">
        <v>149</v>
      </c>
      <c r="H44" s="98"/>
    </row>
    <row r="45" spans="2:8" x14ac:dyDescent="0.25">
      <c r="B45" s="78">
        <v>42</v>
      </c>
      <c r="C45" s="9" t="s">
        <v>185</v>
      </c>
      <c r="D45" s="58" t="s">
        <v>30</v>
      </c>
      <c r="E45" s="78" t="s">
        <v>177</v>
      </c>
      <c r="F45" s="78" t="s">
        <v>142</v>
      </c>
      <c r="G45" s="81" t="s">
        <v>188</v>
      </c>
      <c r="H45" s="98"/>
    </row>
    <row r="46" spans="2:8" x14ac:dyDescent="0.25">
      <c r="B46" s="78">
        <v>43</v>
      </c>
      <c r="C46" s="9" t="s">
        <v>186</v>
      </c>
      <c r="D46" s="58" t="s">
        <v>33</v>
      </c>
      <c r="E46" s="78" t="s">
        <v>46</v>
      </c>
      <c r="F46" s="78" t="s">
        <v>143</v>
      </c>
      <c r="G46" s="58" t="s">
        <v>146</v>
      </c>
      <c r="H46" s="98"/>
    </row>
    <row r="47" spans="2:8" x14ac:dyDescent="0.25">
      <c r="B47" s="78">
        <v>44</v>
      </c>
      <c r="C47" s="9" t="s">
        <v>187</v>
      </c>
      <c r="D47" s="58" t="s">
        <v>32</v>
      </c>
      <c r="E47" s="78" t="s">
        <v>46</v>
      </c>
      <c r="F47" s="78" t="s">
        <v>143</v>
      </c>
      <c r="G47" s="58" t="s">
        <v>147</v>
      </c>
      <c r="H47" s="98"/>
    </row>
    <row r="48" spans="2:8" x14ac:dyDescent="0.25">
      <c r="B48" s="78">
        <v>45</v>
      </c>
      <c r="C48" s="9" t="s">
        <v>82</v>
      </c>
      <c r="D48" s="58"/>
      <c r="E48" s="78" t="s">
        <v>46</v>
      </c>
      <c r="F48" s="78" t="s">
        <v>142</v>
      </c>
      <c r="G48" s="58" t="s">
        <v>89</v>
      </c>
      <c r="H48" s="98"/>
    </row>
    <row r="49" spans="2:8" ht="25.5" x14ac:dyDescent="0.25">
      <c r="B49" s="78">
        <v>46</v>
      </c>
      <c r="C49" s="9" t="s">
        <v>63</v>
      </c>
      <c r="D49" s="58">
        <v>34</v>
      </c>
      <c r="E49" s="78" t="s">
        <v>45</v>
      </c>
      <c r="F49" s="78"/>
      <c r="G49" s="78"/>
      <c r="H49" s="98"/>
    </row>
    <row r="50" spans="2:8" x14ac:dyDescent="0.25">
      <c r="B50" s="78">
        <v>47</v>
      </c>
      <c r="C50" s="79" t="s">
        <v>189</v>
      </c>
      <c r="D50" s="58" t="s">
        <v>31</v>
      </c>
      <c r="E50" s="78" t="s">
        <v>47</v>
      </c>
      <c r="F50" s="78" t="s">
        <v>142</v>
      </c>
      <c r="G50" s="81" t="s">
        <v>189</v>
      </c>
      <c r="H50" s="98"/>
    </row>
    <row r="51" spans="2:8" x14ac:dyDescent="0.25">
      <c r="B51" s="78">
        <v>48</v>
      </c>
      <c r="C51" s="79" t="s">
        <v>83</v>
      </c>
      <c r="D51" s="58"/>
      <c r="E51" s="78" t="s">
        <v>49</v>
      </c>
      <c r="F51" s="78" t="s">
        <v>143</v>
      </c>
      <c r="G51" s="81" t="s">
        <v>90</v>
      </c>
      <c r="H51" s="83">
        <v>22</v>
      </c>
    </row>
    <row r="52" spans="2:8" x14ac:dyDescent="0.25">
      <c r="B52" s="78">
        <v>49</v>
      </c>
      <c r="C52" s="9" t="s">
        <v>190</v>
      </c>
      <c r="D52" s="8" t="s">
        <v>36</v>
      </c>
      <c r="E52" s="78" t="s">
        <v>47</v>
      </c>
      <c r="F52" s="78" t="s">
        <v>142</v>
      </c>
      <c r="G52" s="81" t="s">
        <v>91</v>
      </c>
      <c r="H52" s="98">
        <v>15</v>
      </c>
    </row>
    <row r="53" spans="2:8" x14ac:dyDescent="0.25">
      <c r="B53" s="78">
        <v>50</v>
      </c>
      <c r="C53" s="79" t="s">
        <v>68</v>
      </c>
      <c r="D53" s="82" t="s">
        <v>37</v>
      </c>
      <c r="E53" s="78" t="s">
        <v>177</v>
      </c>
      <c r="F53" s="78" t="s">
        <v>142</v>
      </c>
      <c r="G53" s="81" t="s">
        <v>92</v>
      </c>
      <c r="H53" s="98"/>
    </row>
    <row r="54" spans="2:8" ht="25.5" x14ac:dyDescent="0.25">
      <c r="B54" s="78">
        <v>51</v>
      </c>
      <c r="C54" s="9" t="s">
        <v>191</v>
      </c>
      <c r="D54" s="78">
        <v>68</v>
      </c>
      <c r="E54" s="78" t="s">
        <v>45</v>
      </c>
      <c r="F54" s="78"/>
      <c r="G54" s="78"/>
      <c r="H54" s="78"/>
    </row>
    <row r="55" spans="2:8" x14ac:dyDescent="0.25">
      <c r="B55" s="78">
        <v>52</v>
      </c>
      <c r="C55" s="9" t="s">
        <v>10</v>
      </c>
      <c r="D55" s="78" t="s">
        <v>34</v>
      </c>
      <c r="E55" s="78" t="s">
        <v>177</v>
      </c>
      <c r="F55" s="78"/>
      <c r="G55" s="78"/>
      <c r="H55" s="78"/>
    </row>
    <row r="56" spans="2:8" ht="63.75" x14ac:dyDescent="0.25">
      <c r="B56" s="78">
        <v>53</v>
      </c>
      <c r="C56" s="84" t="s">
        <v>64</v>
      </c>
      <c r="D56" s="85" t="s">
        <v>152</v>
      </c>
      <c r="E56" s="85" t="s">
        <v>50</v>
      </c>
      <c r="F56" s="78"/>
      <c r="G56" s="78"/>
      <c r="H56" s="78"/>
    </row>
  </sheetData>
  <autoFilter ref="B3:H56"/>
  <mergeCells count="4">
    <mergeCell ref="H52:H53"/>
    <mergeCell ref="H39:H50"/>
    <mergeCell ref="H27:H38"/>
    <mergeCell ref="H20:H24"/>
  </mergeCells>
  <pageMargins left="0.18" right="0.17" top="0.28999999999999998" bottom="0.27" header="0.17" footer="0.17"/>
  <pageSetup paperSize="9" scale="9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35"/>
  <sheetViews>
    <sheetView workbookViewId="0">
      <selection activeCell="K17" sqref="K17"/>
    </sheetView>
  </sheetViews>
  <sheetFormatPr defaultRowHeight="14.25" x14ac:dyDescent="0.25"/>
  <cols>
    <col min="1" max="1" width="2.7109375" style="31" customWidth="1"/>
    <col min="2" max="2" width="10.28515625" style="31" customWidth="1"/>
    <col min="3" max="3" width="30.42578125" style="12" customWidth="1"/>
    <col min="4" max="4" width="21.5703125" style="31" bestFit="1" customWidth="1"/>
    <col min="5" max="5" width="9.5703125" style="31" bestFit="1" customWidth="1"/>
    <col min="6" max="6" width="31.7109375" style="31" customWidth="1"/>
    <col min="7" max="16384" width="9.140625" style="31"/>
  </cols>
  <sheetData>
    <row r="1" spans="2:6" ht="8.25" customHeight="1" x14ac:dyDescent="0.25"/>
    <row r="3" spans="2:6" ht="30.75" customHeight="1" x14ac:dyDescent="0.25">
      <c r="B3" s="10" t="s">
        <v>79</v>
      </c>
      <c r="C3" s="10" t="s">
        <v>77</v>
      </c>
      <c r="D3" s="10" t="s">
        <v>246</v>
      </c>
      <c r="E3" s="10" t="s">
        <v>39</v>
      </c>
      <c r="F3" s="10" t="s">
        <v>64</v>
      </c>
    </row>
    <row r="4" spans="2:6" x14ac:dyDescent="0.25">
      <c r="B4" s="100" t="s">
        <v>177</v>
      </c>
      <c r="C4" s="9" t="s">
        <v>175</v>
      </c>
      <c r="D4" s="63" t="s">
        <v>133</v>
      </c>
      <c r="E4" s="7" t="s">
        <v>163</v>
      </c>
      <c r="F4" s="32" t="s">
        <v>164</v>
      </c>
    </row>
    <row r="5" spans="2:6" x14ac:dyDescent="0.25">
      <c r="B5" s="101"/>
      <c r="C5" s="9" t="s">
        <v>176</v>
      </c>
      <c r="D5" s="63" t="s">
        <v>192</v>
      </c>
      <c r="E5" s="63" t="s">
        <v>166</v>
      </c>
      <c r="F5" s="32" t="s">
        <v>165</v>
      </c>
    </row>
    <row r="6" spans="2:6" ht="25.5" x14ac:dyDescent="0.25">
      <c r="B6" s="101"/>
      <c r="C6" s="9" t="s">
        <v>138</v>
      </c>
      <c r="D6" s="63" t="s">
        <v>97</v>
      </c>
      <c r="E6" s="7"/>
      <c r="F6" s="32"/>
    </row>
    <row r="7" spans="2:6" x14ac:dyDescent="0.25">
      <c r="B7" s="101"/>
      <c r="C7" s="9" t="s">
        <v>139</v>
      </c>
      <c r="D7" s="63" t="s">
        <v>87</v>
      </c>
      <c r="E7" s="8"/>
      <c r="F7" s="32"/>
    </row>
    <row r="8" spans="2:6" x14ac:dyDescent="0.25">
      <c r="B8" s="101"/>
      <c r="C8" s="9" t="s">
        <v>185</v>
      </c>
      <c r="D8" s="63" t="s">
        <v>188</v>
      </c>
      <c r="E8" s="8"/>
      <c r="F8" s="32"/>
    </row>
    <row r="9" spans="2:6" x14ac:dyDescent="0.25">
      <c r="B9" s="102"/>
      <c r="C9" s="9" t="s">
        <v>68</v>
      </c>
      <c r="D9" s="63" t="s">
        <v>92</v>
      </c>
      <c r="E9" s="8"/>
      <c r="F9" s="32"/>
    </row>
    <row r="10" spans="2:6" x14ac:dyDescent="0.25">
      <c r="B10" s="99" t="s">
        <v>46</v>
      </c>
      <c r="C10" s="9" t="s">
        <v>178</v>
      </c>
      <c r="D10" s="63" t="s">
        <v>178</v>
      </c>
      <c r="E10" s="7"/>
      <c r="F10" s="32"/>
    </row>
    <row r="11" spans="2:6" ht="25.5" x14ac:dyDescent="0.25">
      <c r="B11" s="99"/>
      <c r="C11" s="9" t="s">
        <v>134</v>
      </c>
      <c r="D11" s="63" t="s">
        <v>144</v>
      </c>
      <c r="E11" s="63"/>
      <c r="F11" s="32"/>
    </row>
    <row r="12" spans="2:6" x14ac:dyDescent="0.25">
      <c r="B12" s="99"/>
      <c r="C12" s="9" t="s">
        <v>9</v>
      </c>
      <c r="D12" s="63" t="s">
        <v>145</v>
      </c>
      <c r="E12" s="63" t="s">
        <v>150</v>
      </c>
      <c r="F12" s="32" t="s">
        <v>151</v>
      </c>
    </row>
    <row r="13" spans="2:6" ht="25.5" x14ac:dyDescent="0.25">
      <c r="B13" s="99"/>
      <c r="C13" s="9"/>
      <c r="D13" s="63"/>
      <c r="E13" s="63" t="s">
        <v>153</v>
      </c>
      <c r="F13" s="32" t="s">
        <v>152</v>
      </c>
    </row>
    <row r="14" spans="2:6" x14ac:dyDescent="0.25">
      <c r="B14" s="99"/>
      <c r="C14" s="9" t="s">
        <v>80</v>
      </c>
      <c r="D14" s="63" t="s">
        <v>96</v>
      </c>
      <c r="E14" s="8"/>
      <c r="F14" s="32"/>
    </row>
    <row r="15" spans="2:6" x14ac:dyDescent="0.25">
      <c r="B15" s="99"/>
      <c r="C15" s="9" t="s">
        <v>81</v>
      </c>
      <c r="D15" s="63" t="s">
        <v>93</v>
      </c>
      <c r="E15" s="8"/>
      <c r="F15" s="32"/>
    </row>
    <row r="16" spans="2:6" x14ac:dyDescent="0.25">
      <c r="B16" s="99"/>
      <c r="C16" s="9" t="s">
        <v>135</v>
      </c>
      <c r="D16" s="63" t="s">
        <v>195</v>
      </c>
      <c r="E16" s="8"/>
      <c r="F16" s="32"/>
    </row>
    <row r="17" spans="2:6" x14ac:dyDescent="0.25">
      <c r="B17" s="99"/>
      <c r="C17" s="9" t="s">
        <v>180</v>
      </c>
      <c r="D17" s="63" t="s">
        <v>193</v>
      </c>
      <c r="E17" s="63"/>
      <c r="F17" s="32"/>
    </row>
    <row r="18" spans="2:6" x14ac:dyDescent="0.25">
      <c r="B18" s="99"/>
      <c r="C18" s="9" t="s">
        <v>247</v>
      </c>
      <c r="D18" s="63" t="s">
        <v>148</v>
      </c>
      <c r="E18" s="7" t="s">
        <v>167</v>
      </c>
      <c r="F18" s="32" t="s">
        <v>168</v>
      </c>
    </row>
    <row r="19" spans="2:6" ht="25.5" x14ac:dyDescent="0.25">
      <c r="B19" s="99"/>
      <c r="C19" s="9" t="s">
        <v>136</v>
      </c>
      <c r="D19" s="63" t="s">
        <v>196</v>
      </c>
      <c r="E19" s="7"/>
      <c r="F19" s="32"/>
    </row>
    <row r="20" spans="2:6" ht="25.5" x14ac:dyDescent="0.25">
      <c r="B20" s="99"/>
      <c r="C20" s="9" t="s">
        <v>40</v>
      </c>
      <c r="D20" s="63" t="s">
        <v>86</v>
      </c>
      <c r="E20" s="63"/>
      <c r="F20" s="32"/>
    </row>
    <row r="21" spans="2:6" x14ac:dyDescent="0.25">
      <c r="B21" s="99"/>
      <c r="C21" s="9" t="s">
        <v>94</v>
      </c>
      <c r="D21" s="63" t="s">
        <v>95</v>
      </c>
      <c r="E21" s="63"/>
      <c r="F21" s="32"/>
    </row>
    <row r="22" spans="2:6" x14ac:dyDescent="0.25">
      <c r="B22" s="99"/>
      <c r="C22" s="9" t="s">
        <v>140</v>
      </c>
      <c r="D22" s="63" t="s">
        <v>88</v>
      </c>
      <c r="E22" s="7"/>
      <c r="F22" s="32"/>
    </row>
    <row r="23" spans="2:6" ht="25.5" x14ac:dyDescent="0.25">
      <c r="B23" s="99"/>
      <c r="C23" s="9" t="s">
        <v>65</v>
      </c>
      <c r="D23" s="63" t="s">
        <v>197</v>
      </c>
      <c r="E23" s="7"/>
      <c r="F23" s="32"/>
    </row>
    <row r="24" spans="2:6" x14ac:dyDescent="0.25">
      <c r="B24" s="99"/>
      <c r="C24" s="9" t="s">
        <v>186</v>
      </c>
      <c r="D24" s="63" t="s">
        <v>146</v>
      </c>
      <c r="E24" s="7"/>
      <c r="F24" s="32"/>
    </row>
    <row r="25" spans="2:6" x14ac:dyDescent="0.25">
      <c r="B25" s="99"/>
      <c r="C25" s="9" t="s">
        <v>187</v>
      </c>
      <c r="D25" s="63" t="s">
        <v>147</v>
      </c>
      <c r="E25" s="63"/>
      <c r="F25" s="32"/>
    </row>
    <row r="26" spans="2:6" x14ac:dyDescent="0.25">
      <c r="B26" s="99"/>
      <c r="C26" s="9" t="s">
        <v>82</v>
      </c>
      <c r="D26" s="63" t="s">
        <v>89</v>
      </c>
      <c r="E26" s="63"/>
      <c r="F26" s="32"/>
    </row>
    <row r="27" spans="2:6" x14ac:dyDescent="0.25">
      <c r="B27" s="100" t="s">
        <v>47</v>
      </c>
      <c r="C27" s="9" t="s">
        <v>179</v>
      </c>
      <c r="D27" s="63"/>
      <c r="E27" s="8"/>
      <c r="F27" s="32"/>
    </row>
    <row r="28" spans="2:6" x14ac:dyDescent="0.25">
      <c r="B28" s="101"/>
      <c r="C28" s="9" t="s">
        <v>137</v>
      </c>
      <c r="D28" s="63"/>
      <c r="E28" s="8"/>
      <c r="F28" s="32"/>
    </row>
    <row r="29" spans="2:6" x14ac:dyDescent="0.25">
      <c r="B29" s="101"/>
      <c r="C29" s="9" t="s">
        <v>182</v>
      </c>
      <c r="D29" s="63"/>
      <c r="E29" s="8"/>
      <c r="F29" s="32"/>
    </row>
    <row r="30" spans="2:6" x14ac:dyDescent="0.25">
      <c r="B30" s="101"/>
      <c r="C30" s="9" t="s">
        <v>183</v>
      </c>
      <c r="D30" s="63" t="s">
        <v>159</v>
      </c>
      <c r="E30" s="63"/>
      <c r="F30" s="32"/>
    </row>
    <row r="31" spans="2:6" x14ac:dyDescent="0.25">
      <c r="B31" s="101"/>
      <c r="C31" s="9" t="s">
        <v>184</v>
      </c>
      <c r="D31" s="63" t="s">
        <v>162</v>
      </c>
      <c r="E31" s="63"/>
      <c r="F31" s="32"/>
    </row>
    <row r="32" spans="2:6" ht="25.5" x14ac:dyDescent="0.25">
      <c r="B32" s="101"/>
      <c r="C32" s="9" t="s">
        <v>189</v>
      </c>
      <c r="D32" s="63" t="s">
        <v>160</v>
      </c>
      <c r="E32" s="7"/>
      <c r="F32" s="32"/>
    </row>
    <row r="33" spans="2:6" ht="25.5" x14ac:dyDescent="0.25">
      <c r="B33" s="102"/>
      <c r="C33" s="9" t="s">
        <v>190</v>
      </c>
      <c r="D33" s="63" t="s">
        <v>161</v>
      </c>
      <c r="E33" s="8"/>
      <c r="F33" s="32"/>
    </row>
    <row r="34" spans="2:6" ht="25.5" x14ac:dyDescent="0.25">
      <c r="B34" s="63" t="s">
        <v>50</v>
      </c>
      <c r="C34" s="9" t="s">
        <v>141</v>
      </c>
      <c r="D34" s="63" t="s">
        <v>149</v>
      </c>
      <c r="E34" s="63"/>
      <c r="F34" s="32"/>
    </row>
    <row r="35" spans="2:6" x14ac:dyDescent="0.25">
      <c r="B35" s="103" t="s">
        <v>49</v>
      </c>
      <c r="C35" s="9" t="s">
        <v>83</v>
      </c>
      <c r="D35" s="63" t="s">
        <v>90</v>
      </c>
      <c r="E35" s="33"/>
      <c r="F35" s="32"/>
    </row>
  </sheetData>
  <autoFilter ref="B3:F3"/>
  <mergeCells count="3">
    <mergeCell ref="B10:B26"/>
    <mergeCell ref="B4:B9"/>
    <mergeCell ref="B27:B33"/>
  </mergeCells>
  <pageMargins left="0.18" right="0.17" top="0.28999999999999998" bottom="0.27" header="0.17" footer="0.17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Process Report Flow</vt:lpstr>
      <vt:lpstr>Mail Notification</vt:lpstr>
      <vt:lpstr>Gantt Chart Timeline</vt:lpstr>
      <vt:lpstr>Gantt Chart</vt:lpstr>
      <vt:lpstr>Report Vertical</vt:lpstr>
      <vt:lpstr>Comment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Pharma-Sr. Exe, New Product Team-Saif</dc:creator>
  <cp:lastModifiedBy>Pharma-Sr. PE-Saif</cp:lastModifiedBy>
  <cp:lastPrinted>2026-07-14T09:48:18Z</cp:lastPrinted>
  <dcterms:created xsi:type="dcterms:W3CDTF">2026-05-05T04:17:29Z</dcterms:created>
  <dcterms:modified xsi:type="dcterms:W3CDTF">2026-07-15T05:22:52Z</dcterms:modified>
</cp:coreProperties>
</file>